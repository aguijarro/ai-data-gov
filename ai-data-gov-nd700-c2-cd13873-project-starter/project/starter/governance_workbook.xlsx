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vagm\udacity\governance_ia\ai-data-gov-nd700-c2-cd13873-project-starter\ai-data-gov-nd700-c2-cd13873-project-starter\project\starter\"/>
    </mc:Choice>
  </mc:AlternateContent>
  <xr:revisionPtr revIDLastSave="0" documentId="13_ncr:1_{2723E3F0-0332-46CA-BAF9-EE99C92AC9F3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EU AI Act Classification" sheetId="1" r:id="rId1"/>
    <sheet name="Risk Register" sheetId="2" r:id="rId2"/>
    <sheet name="Vendor Evaluation" sheetId="3" r:id="rId3"/>
    <sheet name="Model Card" sheetId="4" r:id="rId4"/>
    <sheet name="Monitoring &amp; Incidents" sheetId="5" r:id="rId5"/>
    <sheet name="Executive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E20" i="3" s="1"/>
  <c r="E19" i="3"/>
  <c r="E18" i="3"/>
  <c r="E17" i="3"/>
  <c r="E16" i="3"/>
  <c r="E15" i="3"/>
  <c r="N11" i="2"/>
  <c r="N10" i="2"/>
  <c r="N9" i="2"/>
  <c r="N8" i="2"/>
  <c r="N7" i="2"/>
  <c r="N6" i="2"/>
  <c r="N5" i="2"/>
  <c r="N4" i="2"/>
</calcChain>
</file>

<file path=xl/sharedStrings.xml><?xml version="1.0" encoding="utf-8"?>
<sst xmlns="http://schemas.openxmlformats.org/spreadsheetml/2006/main" count="712" uniqueCount="591">
  <si>
    <t>EU AI ACT RISK CLASSIFICATION — ClinicalCompanion v1.0</t>
  </si>
  <si>
    <t>SECTION A: Risk Classification (YOUR ANALYSIS)</t>
  </si>
  <si>
    <t>Step</t>
  </si>
  <si>
    <t>Question</t>
  </si>
  <si>
    <t>Your Answer</t>
  </si>
  <si>
    <t>Evidence / Justification</t>
  </si>
  <si>
    <t>Article Reference</t>
  </si>
  <si>
    <t>Result</t>
  </si>
  <si>
    <t>1</t>
  </si>
  <si>
    <t>Does the system engage in any prohibited practices under Article 5?</t>
  </si>
  <si>
    <t>Article 5</t>
  </si>
  <si>
    <t>2</t>
  </si>
  <si>
    <t>Is the system a safety component under EU harmonisation legislation (Annex I)?</t>
  </si>
  <si>
    <t>Article 6(1), Annex I</t>
  </si>
  <si>
    <t>3</t>
  </si>
  <si>
    <t>Does the system fall under any Annex III high-risk category?</t>
  </si>
  <si>
    <t>Annex III</t>
  </si>
  <si>
    <t>4</t>
  </si>
  <si>
    <t>FINAL CLASSIFICATION</t>
  </si>
  <si>
    <t>SECTION B: Compliance Gap Analysis (Articles 8-15)</t>
  </si>
  <si>
    <t>Article</t>
  </si>
  <si>
    <t>Requirement</t>
  </si>
  <si>
    <t>Description</t>
  </si>
  <si>
    <t>Your Status Assessment</t>
  </si>
  <si>
    <t>Your Severity Rating</t>
  </si>
  <si>
    <t>Your Remediation Plan</t>
  </si>
  <si>
    <t>Article 9</t>
  </si>
  <si>
    <t>Risk Management System</t>
  </si>
  <si>
    <t>Establish and maintain risk management system throughout AI lifecycle</t>
  </si>
  <si>
    <t>Risk Identification</t>
  </si>
  <si>
    <t>Identify and analyze known and reasonably foreseeable risks</t>
  </si>
  <si>
    <t>Residual Risk Evaluation</t>
  </si>
  <si>
    <t>Residual risk after mitigation must be judged acceptable</t>
  </si>
  <si>
    <t>Article 10</t>
  </si>
  <si>
    <t>Data Governance</t>
  </si>
  <si>
    <t>Training/validation/testing datasets subject to appropriate governance</t>
  </si>
  <si>
    <t>Dataset Representativeness</t>
  </si>
  <si>
    <t>Datasets relevant, sufficiently representative, free of errors</t>
  </si>
  <si>
    <t>Special Category Data</t>
  </si>
  <si>
    <t>Appropriate safeguards for health data processing</t>
  </si>
  <si>
    <t>Article 11</t>
  </si>
  <si>
    <t>Technical Documentation</t>
  </si>
  <si>
    <t>Draw up technical documentation before market placement</t>
  </si>
  <si>
    <t>Article 12</t>
  </si>
  <si>
    <t>Record-Keeping</t>
  </si>
  <si>
    <t>Automatic recording of events (logs) throughout system lifetime</t>
  </si>
  <si>
    <t>Log Retention</t>
  </si>
  <si>
    <t>Logs retained for appropriate period</t>
  </si>
  <si>
    <t>Article 13</t>
  </si>
  <si>
    <t>Transparency</t>
  </si>
  <si>
    <t>Design to allow deployers to interpret output appropriately</t>
  </si>
  <si>
    <t>Instructions for Use</t>
  </si>
  <si>
    <t>Provide instructions for use to deployers</t>
  </si>
  <si>
    <t>Article 14</t>
  </si>
  <si>
    <t>Human Oversight</t>
  </si>
  <si>
    <t>Design to allow effective human oversight during use</t>
  </si>
  <si>
    <t>Override Capability</t>
  </si>
  <si>
    <t>Enable deployer to override or reverse AI output</t>
  </si>
  <si>
    <t>Article 15</t>
  </si>
  <si>
    <t>Accuracy</t>
  </si>
  <si>
    <t>Achieve appropriate level of accuracy for intended purpose</t>
  </si>
  <si>
    <t>Robustness</t>
  </si>
  <si>
    <t>Resilient to errors, faults, inconsistencies; adversarial resilience</t>
  </si>
  <si>
    <t>Cybersecurity</t>
  </si>
  <si>
    <t>Cybersecurity measures appropriate to risk level</t>
  </si>
  <si>
    <t>SECTION C: Your Classification Summary</t>
  </si>
  <si>
    <t>Overall Risk Level:</t>
  </si>
  <si>
    <t>Number of Critical/High Gaps:</t>
  </si>
  <si>
    <t>Timeline to Compliance:</t>
  </si>
  <si>
    <t>Key Recommendation for the Board:</t>
  </si>
  <si>
    <t>RISK REGISTER — ClinicalCompanion v1.0 (NIST AI RMF)</t>
  </si>
  <si>
    <t>Risk ID</t>
  </si>
  <si>
    <t>Risk Category</t>
  </si>
  <si>
    <t>NIST RMF
Function</t>
  </si>
  <si>
    <t>Risk Description</t>
  </si>
  <si>
    <t>Risk Owner</t>
  </si>
  <si>
    <t>Likelihood
(1-5)</t>
  </si>
  <si>
    <t>Impact
(1-5)</t>
  </si>
  <si>
    <t>Risk Score
(L×I)</t>
  </si>
  <si>
    <t>Priority</t>
  </si>
  <si>
    <t>Your Mitigation Strategy</t>
  </si>
  <si>
    <t>Mitigation
Status</t>
  </si>
  <si>
    <t>Your Residual
Likelihood</t>
  </si>
  <si>
    <t>Your Residual
Impact</t>
  </si>
  <si>
    <t>Residual
Score</t>
  </si>
  <si>
    <t>R-001</t>
  </si>
  <si>
    <t>Technical</t>
  </si>
  <si>
    <t>Measure</t>
  </si>
  <si>
    <t>Clinical hallucinations: Model generates plausible but fabricated medical references or diagnostic suggestions not supported by evidence (current rate: 3.4%)</t>
  </si>
  <si>
    <t>VP Engineering</t>
  </si>
  <si>
    <t>R-002</t>
  </si>
  <si>
    <t>Ethical / Bias</t>
  </si>
  <si>
    <t>Map</t>
  </si>
  <si>
    <t>Demographic bias: Training data underrepresents Eastern European, Sub-Saharan African, and Southeast Asian populations, leading to potential diagnostic disparities</t>
  </si>
  <si>
    <t>Chief Medical Officer</t>
  </si>
  <si>
    <t>R-003</t>
  </si>
  <si>
    <t>Legal / Regulatory</t>
  </si>
  <si>
    <t>Govern</t>
  </si>
  <si>
    <t>EU AI Act non-compliance: Failure to complete conformity assessment before market entry could result in penalties up to 3% of global turnover and deployment prohibition</t>
  </si>
  <si>
    <t>Head of Compliance</t>
  </si>
  <si>
    <t>R-004</t>
  </si>
  <si>
    <t>Privacy / Security</t>
  </si>
  <si>
    <t>Manage</t>
  </si>
  <si>
    <t>Patient data re-identification: Residual re-identification risk through quasi-identifier combinations or model memorization of training data patterns despite de-identification pipeline</t>
  </si>
  <si>
    <t>Data Protection Officer</t>
  </si>
  <si>
    <t>R-005</t>
  </si>
  <si>
    <t>Operational</t>
  </si>
  <si>
    <t>Foundation model vendor dependency: FoundationHealth Inc. controls model weights, update cadence, and API availability. Unilateral updates could alter clinical performance; discontinuation would halt operations</t>
  </si>
  <si>
    <t>R-006</t>
  </si>
  <si>
    <t>Model drift: Performance degradation over time due to evolving clinical practices, new diseases, or changing patient populations without adequate monitoring</t>
  </si>
  <si>
    <t>R-007</t>
  </si>
  <si>
    <t>Ethical / Safety</t>
  </si>
  <si>
    <t>Automation bias: Physicians may over-rely on ClinicalCompanion suggestions without sufficient independent judgment, particularly under time pressure or fatigue</t>
  </si>
  <si>
    <t>R-008</t>
  </si>
  <si>
    <t>Cross-border data transfer: Patient data flowing between EU infrastructure and US-based FoundationHealth API may violate GDPR Chapter V, particularly post-Schrems II</t>
  </si>
  <si>
    <t>RISK SUMMARY (auto-calculated from your entries above)</t>
  </si>
  <si>
    <t>Total Risks:</t>
  </si>
  <si>
    <t>Average Risk Score:</t>
  </si>
  <si>
    <t>Critical (20-25):</t>
  </si>
  <si>
    <t>Max Risk Score:</t>
  </si>
  <si>
    <t>High (15-19):</t>
  </si>
  <si>
    <t>SCORING GUIDE</t>
  </si>
  <si>
    <t>Likelihood</t>
  </si>
  <si>
    <t>1 = Rare</t>
  </si>
  <si>
    <t>2 = Unlikely</t>
  </si>
  <si>
    <t>3 = Possible</t>
  </si>
  <si>
    <t>4 = Likely</t>
  </si>
  <si>
    <t>5 = Almost Certain</t>
  </si>
  <si>
    <t>Impact</t>
  </si>
  <si>
    <t>1 = Negligible</t>
  </si>
  <si>
    <t>2 = Minor</t>
  </si>
  <si>
    <t>3 = Moderate</t>
  </si>
  <si>
    <t>4 = Major</t>
  </si>
  <si>
    <t>5 = Catastrophic</t>
  </si>
  <si>
    <t>Critical: 20-25</t>
  </si>
  <si>
    <t>High: 15-19</t>
  </si>
  <si>
    <t>Medium: 10-14</t>
  </si>
  <si>
    <t>Low: 5-9</t>
  </si>
  <si>
    <t>Minimal: 1-4</t>
  </si>
  <si>
    <t>THIRD-PARTY AI VENDOR EVALUATION — FoundationHealth Inc.</t>
  </si>
  <si>
    <t>SECTION A: Vendor Profile (reference data)</t>
  </si>
  <si>
    <t>Company Name:</t>
  </si>
  <si>
    <t>FoundationHealth Inc.</t>
  </si>
  <si>
    <t>Founded:</t>
  </si>
  <si>
    <t>2021</t>
  </si>
  <si>
    <t>Headquarters:</t>
  </si>
  <si>
    <t>San Francisco, CA, USA</t>
  </si>
  <si>
    <t>Funding:</t>
  </si>
  <si>
    <t>Series C ($180M, 2024)</t>
  </si>
  <si>
    <t>Employees:</t>
  </si>
  <si>
    <t>450</t>
  </si>
  <si>
    <t>Revenue:</t>
  </si>
  <si>
    <t>$85M (60% YoY, not yet profitable)</t>
  </si>
  <si>
    <t>Certifications:</t>
  </si>
  <si>
    <t>soc2_type2, iso_27001</t>
  </si>
  <si>
    <t>SLA Uptime:</t>
  </si>
  <si>
    <t>99.9%</t>
  </si>
  <si>
    <t>SECTION B: Evaluation Scorecard — enter scores from your notebook analysis</t>
  </si>
  <si>
    <t>Category</t>
  </si>
  <si>
    <t>Criteria
Count</t>
  </si>
  <si>
    <t>Your Total
Score</t>
  </si>
  <si>
    <t>Max
Score</t>
  </si>
  <si>
    <t>Your
Score %</t>
  </si>
  <si>
    <t>Your Risk
Level</t>
  </si>
  <si>
    <t>Key Finding</t>
  </si>
  <si>
    <t>Model Transparency &amp; Documentation</t>
  </si>
  <si>
    <t>Data Privacy &amp; Security</t>
  </si>
  <si>
    <t>Model Governance &amp; Lifecycle</t>
  </si>
  <si>
    <t>Contractual &amp; Business Continuity</t>
  </si>
  <si>
    <t>Regulatory &amp; Ethical Alignment</t>
  </si>
  <si>
    <t>OVERALL</t>
  </si>
  <si>
    <t>Scoring guide:</t>
  </si>
  <si>
    <t>&gt;=80% = Low Risk</t>
  </si>
  <si>
    <t>60-79% = Medium Risk</t>
  </si>
  <si>
    <t>&lt;60% = High Risk</t>
  </si>
  <si>
    <t>SECTION C: Your Vendor Recommendation</t>
  </si>
  <si>
    <t>Recommendation:</t>
  </si>
  <si>
    <t>Key Strengths:</t>
  </si>
  <si>
    <t>Key Weaknesses:</t>
  </si>
  <si>
    <t>Required Mitigations:</t>
  </si>
  <si>
    <t>Contractual Requirements:</t>
  </si>
  <si>
    <t>MODEL CARD — ClinicalCompanion v1.0 (Mitchell et al., 2019)</t>
  </si>
  <si>
    <t>1. MODEL DETAILS (reference data)</t>
  </si>
  <si>
    <t>Model Name:</t>
  </si>
  <si>
    <t>FoundationHealth Medical LLM v3.2</t>
  </si>
  <si>
    <t>Version:</t>
  </si>
  <si>
    <t>1.0</t>
  </si>
  <si>
    <t>Type:</t>
  </si>
  <si>
    <t>Clinical Decision Support System (CDSS)</t>
  </si>
  <si>
    <t>Developer:</t>
  </si>
  <si>
    <t>MedAssist AI</t>
  </si>
  <si>
    <t>Planned Release:</t>
  </si>
  <si>
    <t>2025-09-01</t>
  </si>
  <si>
    <t>Architecture:</t>
  </si>
  <si>
    <t>Transformer-based, 7B parameters</t>
  </si>
  <si>
    <t>Access Method:</t>
  </si>
  <si>
    <t>API</t>
  </si>
  <si>
    <t>Provider:</t>
  </si>
  <si>
    <t>2. INTENDED USE (reference data)</t>
  </si>
  <si>
    <t>Primary Functions:</t>
  </si>
  <si>
    <t>Ranked diagnostic suggestions with confidence scores; Differential diagnosis support with reasoning; Evidence-based treatment considerations mapped to clinical guidelines; Risk flags for critical findings, drug interactions, deteriorating status</t>
  </si>
  <si>
    <t>Intended Users:</t>
  </si>
  <si>
    <t>Licensed physicians (primary care and specialists); Clinical fellows and residents (under attending supervision); Nurse practitioners and physician assistants (where authorized)</t>
  </si>
  <si>
    <t>Out-of-Scope:</t>
  </si>
  <si>
    <t>Autonomous diagnosis or treatment decisions; Standalone diagnostic tool (must not replace physician judgment); Patient-facing interface (no direct patient use); Pediatric populations (under 18) in initial release; Emergency triage as sole decision-making tool</t>
  </si>
  <si>
    <t>3. TRAINING DATA (reference data)</t>
  </si>
  <si>
    <t>Partner Hospital Network A (EU)</t>
  </si>
  <si>
    <t>280,000 records</t>
  </si>
  <si>
    <t>Germany, France, Netherlands</t>
  </si>
  <si>
    <t>EHR encounters</t>
  </si>
  <si>
    <t>Partner Hospital Network B (US)</t>
  </si>
  <si>
    <t>170,000 records</t>
  </si>
  <si>
    <t>United States (multi-state)</t>
  </si>
  <si>
    <t>PubMed Abstract Corpus</t>
  </si>
  <si>
    <t>2,100,000 records</t>
  </si>
  <si>
    <t>Global</t>
  </si>
  <si>
    <t>Medical literature abstracts</t>
  </si>
  <si>
    <t>Expert Clinical Q&amp;A</t>
  </si>
  <si>
    <t>12,000 records</t>
  </si>
  <si>
    <t>EU, US</t>
  </si>
  <si>
    <t>Curated Q&amp;A pairs</t>
  </si>
  <si>
    <t>Clinical Practice Guidelines</t>
  </si>
  <si>
    <t>340 records</t>
  </si>
  <si>
    <t>EU, US, WHO</t>
  </si>
  <si>
    <t>Practice guidelines</t>
  </si>
  <si>
    <t>Total Records:</t>
  </si>
  <si>
    <t>2,562,340</t>
  </si>
  <si>
    <t>4. KEY PERFORMANCE METRICS (from performance_metrics.csv)</t>
  </si>
  <si>
    <t>Overall Top-3 Accuracy:</t>
  </si>
  <si>
    <t>Hallucination Rate:</t>
  </si>
  <si>
    <t>Critical Finding Detection:</t>
  </si>
  <si>
    <t>Average Response Time:</t>
  </si>
  <si>
    <t>Physician Override Rate:</t>
  </si>
  <si>
    <t>5. DISAGGREGATED PERFORMANCE (from performance_metrics.csv)</t>
  </si>
  <si>
    <t>Gender Parity:</t>
  </si>
  <si>
    <t>Age Groups:</t>
  </si>
  <si>
    <t>Specialty - Cardiovascular:</t>
  </si>
  <si>
    <t>Specialty - Neurological:</t>
  </si>
  <si>
    <t>Specialty - Rare Diseases:</t>
  </si>
  <si>
    <t>Language - Non-English:</t>
  </si>
  <si>
    <t>Complexity - Multi-morbidity:</t>
  </si>
  <si>
    <t>6. FAIRNESS METRICS (from performance_metrics.csv)</t>
  </si>
  <si>
    <t>Equalized Odds:</t>
  </si>
  <si>
    <t>Demographic Parity:</t>
  </si>
  <si>
    <t>Predictive Parity:</t>
  </si>
  <si>
    <t>7. YOUR FAIRNESS ANALYSIS</t>
  </si>
  <si>
    <t>Gender Parity Assessment:</t>
  </si>
  <si>
    <t>Age Group Equity:</t>
  </si>
  <si>
    <t>Underserved Populations:</t>
  </si>
  <si>
    <t>Fairness Metrics Interpretation:</t>
  </si>
  <si>
    <t>8. YOUR ETHICAL CONSIDERATIONS</t>
  </si>
  <si>
    <t>Bias Concerns:</t>
  </si>
  <si>
    <t>Patient Safety:</t>
  </si>
  <si>
    <t>Automation Bias:</t>
  </si>
  <si>
    <t>Data Privacy:</t>
  </si>
  <si>
    <t>9. YOUR LIMITATIONS &amp; RECOMMENDATIONS</t>
  </si>
  <si>
    <t>Known Limitations:</t>
  </si>
  <si>
    <t>Recommendations:</t>
  </si>
  <si>
    <t>POST-DEPLOYMENT MONITORING &amp; INCIDENT RESPONSE PLAN</t>
  </si>
  <si>
    <t>SECTION A: Key Performance Indicators (reference data)</t>
  </si>
  <si>
    <t>KPI ID</t>
  </si>
  <si>
    <t>Dimension</t>
  </si>
  <si>
    <t>Metric Name</t>
  </si>
  <si>
    <t>Measurement Method</t>
  </si>
  <si>
    <t>Frequency</t>
  </si>
  <si>
    <t>Threshold</t>
  </si>
  <si>
    <t>Escalation Trigger</t>
  </si>
  <si>
    <t>Responsible Role</t>
  </si>
  <si>
    <t>KPI-001</t>
  </si>
  <si>
    <t>Clinical Performance</t>
  </si>
  <si>
    <t>Top-3 Diagnostic Accuracy</t>
  </si>
  <si>
    <t>Comparison against physician-confirmed diagnoses (sampled)</t>
  </si>
  <si>
    <t>Weekly (sampled), Monthly (full)</t>
  </si>
  <si>
    <t>&gt;= 90%</t>
  </si>
  <si>
    <t>Drops below 88% for 2 consecutive weeks</t>
  </si>
  <si>
    <t>Data Science Team</t>
  </si>
  <si>
    <t>KPI-002</t>
  </si>
  <si>
    <t>Hallucination Rate</t>
  </si>
  <si>
    <t>Automated reference verification + physician flagging</t>
  </si>
  <si>
    <t>Daily (auto), Weekly (manual)</t>
  </si>
  <si>
    <t>&lt; 2% (current: 3.4%)</t>
  </si>
  <si>
    <t>Exceeds 5% or any critical hallucination</t>
  </si>
  <si>
    <t>KPI-003</t>
  </si>
  <si>
    <t>Critical Finding Detection</t>
  </si>
  <si>
    <t>Audit against known critical cases in test set</t>
  </si>
  <si>
    <t>Monthly</t>
  </si>
  <si>
    <t>&gt;= 93%</t>
  </si>
  <si>
    <t>Drops below 90%</t>
  </si>
  <si>
    <t>Clinical Safety Officer</t>
  </si>
  <si>
    <t>KPI-004</t>
  </si>
  <si>
    <t>False Positive Rate (Critical)</t>
  </si>
  <si>
    <t>Review of physician dismissal rates for critical alerts</t>
  </si>
  <si>
    <t>Weekly</t>
  </si>
  <si>
    <t>&lt; 10%</t>
  </si>
  <si>
    <t>Exceeds 15%</t>
  </si>
  <si>
    <t>KPI-005</t>
  </si>
  <si>
    <t>Drug Interaction Precision</t>
  </si>
  <si>
    <t>Comparison against PharmaDB ground truth</t>
  </si>
  <si>
    <t>&gt;= 85%</t>
  </si>
  <si>
    <t>Drops below 80%</t>
  </si>
  <si>
    <t>KPI-006</t>
  </si>
  <si>
    <t>Fairness &amp; Bias</t>
  </si>
  <si>
    <t>Accuracy Parity (age groups)</t>
  </si>
  <si>
    <t>Stratified accuracy comparison across age brackets</t>
  </si>
  <si>
    <t>Max gap &lt; 5% across standard groups</t>
  </si>
  <si>
    <t>Any group drops &gt;7% below overall</t>
  </si>
  <si>
    <t>AI Governance Analyst</t>
  </si>
  <si>
    <t>KPI-007</t>
  </si>
  <si>
    <t>Accuracy Parity (gender)</t>
  </si>
  <si>
    <t>Stratified accuracy by gender</t>
  </si>
  <si>
    <t>Max gap &lt; 3%</t>
  </si>
  <si>
    <t>Gap exceeds 5%</t>
  </si>
  <si>
    <t>KPI-008</t>
  </si>
  <si>
    <t>Equalized Odds</t>
  </si>
  <si>
    <t>FPR/FNR comparison across demographics</t>
  </si>
  <si>
    <t>Quarterly</t>
  </si>
  <si>
    <t>&gt;= 0.90 across groups</t>
  </si>
  <si>
    <t>Drops below 0.85 for any group</t>
  </si>
  <si>
    <t>KPI-009</t>
  </si>
  <si>
    <t>Underrepresented Pop. Performance</t>
  </si>
  <si>
    <t>Dedicated evaluation on underrepresented data</t>
  </si>
  <si>
    <t>Improving trend toward parity</t>
  </si>
  <si>
    <t>Performance gap widening</t>
  </si>
  <si>
    <t>KPI-010</t>
  </si>
  <si>
    <t>System Uptime</t>
  </si>
  <si>
    <t>AWS CloudWatch infrastructure monitoring</t>
  </si>
  <si>
    <t>Real-time</t>
  </si>
  <si>
    <t>&gt;= 99.9%</t>
  </si>
  <si>
    <t>Drops below 99.5% in any month</t>
  </si>
  <si>
    <t>KPI-011</t>
  </si>
  <si>
    <t>Average Response Latency</t>
  </si>
  <si>
    <t>API response time tracking</t>
  </si>
  <si>
    <t>&lt; 5 seconds (p95)</t>
  </si>
  <si>
    <t>p95 exceeds 8 seconds</t>
  </si>
  <si>
    <t>KPI-012</t>
  </si>
  <si>
    <t>API Error Rate</t>
  </si>
  <si>
    <t>HTTP error code monitoring</t>
  </si>
  <si>
    <t>&lt; 0.1%</t>
  </si>
  <si>
    <t>Exceeds 1%</t>
  </si>
  <si>
    <t>KPI-013</t>
  </si>
  <si>
    <t>Vendor API Availability</t>
  </si>
  <si>
    <t>FoundationHealth API health checks</t>
  </si>
  <si>
    <t>&gt;= 99.9% per SLA</t>
  </si>
  <si>
    <t>Any outage &gt; 15 minutes</t>
  </si>
  <si>
    <t>KPI-014</t>
  </si>
  <si>
    <t>Data Quality</t>
  </si>
  <si>
    <t>Input Data Completeness</t>
  </si>
  <si>
    <t>Validation of required EHR fields</t>
  </si>
  <si>
    <t>Per-request</t>
  </si>
  <si>
    <t>&gt;= 95% completeness</t>
  </si>
  <si>
    <t>KPI-015</t>
  </si>
  <si>
    <t>De-identification Validation</t>
  </si>
  <si>
    <t>Automated PII scanning of model inputs</t>
  </si>
  <si>
    <t>Daily</t>
  </si>
  <si>
    <t>0 PII leaks</t>
  </si>
  <si>
    <t>Any PII detected in model input</t>
  </si>
  <si>
    <t>KPI-016</t>
  </si>
  <si>
    <t>Data Drift Detection</t>
  </si>
  <si>
    <t>Statistical comparison of input distributions vs training data (KL divergence)</t>
  </si>
  <si>
    <t>KL divergence &lt; 0.1</t>
  </si>
  <si>
    <t>KL divergence exceeds 0.2</t>
  </si>
  <si>
    <t>SECTION B: AI-Specific Incident Taxonomy (from incident_types.csv)</t>
  </si>
  <si>
    <t>Incident ID</t>
  </si>
  <si>
    <t>Incident Type</t>
  </si>
  <si>
    <t>Example</t>
  </si>
  <si>
    <t>Severity Range</t>
  </si>
  <si>
    <t>Detection Method</t>
  </si>
  <si>
    <t>[INC-01]</t>
  </si>
  <si>
    <t>[INC-02]</t>
  </si>
  <si>
    <t>[INC-03]</t>
  </si>
  <si>
    <t>[INC-04]</t>
  </si>
  <si>
    <t>[INC-05]</t>
  </si>
  <si>
    <t>[INC-06]</t>
  </si>
  <si>
    <t>[INC-07]</t>
  </si>
  <si>
    <t>[INC-08]</t>
  </si>
  <si>
    <t>[INC-09]</t>
  </si>
  <si>
    <t>[INC-10]</t>
  </si>
  <si>
    <t>SECTION C: Severity Classification &amp; Response Times (from severity_levels.csv)</t>
  </si>
  <si>
    <t>Severity</t>
  </si>
  <si>
    <t>Label</t>
  </si>
  <si>
    <t>Definition</t>
  </si>
  <si>
    <t>Response Time</t>
  </si>
  <si>
    <t>Response
(hours)</t>
  </si>
  <si>
    <t>Containment Action</t>
  </si>
  <si>
    <t>Incident Commander</t>
  </si>
  <si>
    <t>SECTION D: Your Escalation &amp; Communication Procedures</t>
  </si>
  <si>
    <t>Internal Escalation Path:</t>
  </si>
  <si>
    <t>External Notification (Regulatory):</t>
  </si>
  <si>
    <t>Communication to Affected Users:</t>
  </si>
  <si>
    <t>Lessons Learned Process:</t>
  </si>
  <si>
    <t>Monitoring Gaps You Identified:</t>
  </si>
  <si>
    <t>EXECUTIVE GOVERNANCE SUMMARY — BOARD BRIEFING</t>
  </si>
  <si>
    <t>Synthesize ALL your findings from the notebook and previous sheets into a board-ready summary.</t>
  </si>
  <si>
    <t>1. SYSTEM OVERVIEW</t>
  </si>
  <si>
    <t>System:</t>
  </si>
  <si>
    <t>Purpose:</t>
  </si>
  <si>
    <t>Target Market:</t>
  </si>
  <si>
    <t>2. RISK CLASSIFICATION</t>
  </si>
  <si>
    <t>EU AI Act Classification:</t>
  </si>
  <si>
    <t>MDR Classification:</t>
  </si>
  <si>
    <t>Key Regulatory Obligations:</t>
  </si>
  <si>
    <t>3. COMPLIANCE READINESS</t>
  </si>
  <si>
    <t>Overall Readiness:</t>
  </si>
  <si>
    <t>Critical Gaps:</t>
  </si>
  <si>
    <t>Timeline to Full Compliance:</t>
  </si>
  <si>
    <t>4. KEY RISKS</t>
  </si>
  <si>
    <t>Top Risk:</t>
  </si>
  <si>
    <t>Risk Landscape:</t>
  </si>
  <si>
    <t>Mitigation Effectiveness:</t>
  </si>
  <si>
    <t>5. VENDOR ASSESSMENT</t>
  </si>
  <si>
    <t>Vendor:</t>
  </si>
  <si>
    <t>Key Concern:</t>
  </si>
  <si>
    <t>6. MODEL PERFORMANCE</t>
  </si>
  <si>
    <t>Overall Accuracy:</t>
  </si>
  <si>
    <t>Fairness Concerns:</t>
  </si>
  <si>
    <t>Critical Issue:</t>
  </si>
  <si>
    <t>7. BOARD RECOMMENDATION</t>
  </si>
  <si>
    <t>Launch Readiness:</t>
  </si>
  <si>
    <t>Conditions for Launch:</t>
  </si>
  <si>
    <t>Required Actions (prioritized):</t>
  </si>
  <si>
    <t>Estimated Time to Readiness:</t>
  </si>
  <si>
    <t>No</t>
  </si>
  <si>
    <t>No evidence of prohibited practices (social scoring, manipulative subliminal techniques, real-time remote biometric ID in public spaces, or untargeted facial scraping). Clinical use is decision support for professionals.</t>
  </si>
  <si>
    <t>Not Prohibited</t>
  </si>
  <si>
    <t>Yes</t>
  </si>
  <si>
    <t>The system is a safety component of a medical device software context and aligns with MDR 2017/745 pathway (Class IIa context used in assessment)</t>
  </si>
  <si>
    <t>Falls under</t>
  </si>
  <si>
    <t>Medical AI in clinical decision support context is captured as high-risk through Annex III/medical-device-linked route.</t>
  </si>
  <si>
    <t>Listed</t>
  </si>
  <si>
    <t>HIGH-RISK</t>
  </si>
  <si>
    <t>Classified as high-risk primarily via Article 6(1) linkage to harmonized medical device legislation; therefore obligations in Articles 8-15 apply</t>
  </si>
  <si>
    <t>Article 6(1), Annex I / MDR linkage</t>
  </si>
  <si>
    <t>HIGH-RISK AI SYSTEM</t>
  </si>
  <si>
    <t>PARTIAL</t>
  </si>
  <si>
    <t>High</t>
  </si>
  <si>
    <t>Implement formal lifecycle risk management SOP aligned to ISO 14971 + EU AI Act, with quarterly review gates</t>
  </si>
  <si>
    <t>Expand hazard library to include hallucination, subgroup bias, automation bias, vendor/API failure, and cross-border transfer risks.</t>
  </si>
  <si>
    <t>Medium</t>
  </si>
  <si>
    <t>Define explicit residual risk acceptance criteria and board-approved risk appetite thresholds.</t>
  </si>
  <si>
    <t>Formalize data lineage, quality controls, consent/legal-basis mapping, and dataset change control.</t>
  </si>
  <si>
    <t>NON-COMPLIANT</t>
  </si>
  <si>
    <t>Critical</t>
  </si>
  <si>
    <t>Immediate dataset augmentation for rare diseases, non-English notes, and complex multi-morbidity cohorts; re-validate before launch.</t>
  </si>
  <si>
    <t>Strengthen Article 9 GDPR safeguards: minimization, purpose limitation, encryption, DPIA updates, and access controls.</t>
  </si>
  <si>
    <t>Complete conformity-assessment-ready technical file (design, training data, metrics, risk controls, PMM plan).</t>
  </si>
  <si>
    <t>Implement immutable, queryable audit logs for prompts, outputs, overrides, and incident traces.</t>
  </si>
  <si>
    <t>Low</t>
  </si>
  <si>
    <t>Approve retention schedule and legal hold policy for AI logs across jurisdictions.</t>
  </si>
  <si>
    <t>Improve confidence explanation, rationale display, and uncertainty signaling for clinicians.</t>
  </si>
  <si>
    <t>Publish IFU with indications, contraindications, known limits, and mandatory human review guidance.</t>
  </si>
  <si>
    <t>Require physician-in-the-loop checkpoints and documented override workflow in clinical protocols.</t>
  </si>
  <si>
    <t>COMPLIANT</t>
  </si>
  <si>
    <t>Maintain and test override/rollback controls in UAT and incident drills.</t>
  </si>
  <si>
    <t>Raise weak subgroup performance to threshold; keep overall accuracy above target with monitored drift controls.</t>
  </si>
  <si>
    <t>Add stress testing for out-of-distribution and adversarial prompts; strengthen fallback behavior.</t>
  </si>
  <si>
    <t>Expand red-team testing, prompt-injection defenses, credential hardening, and supplier security clauses.</t>
  </si>
  <si>
    <t>6 (1 Critical + 5 High)</t>
  </si>
  <si>
    <t>6-9 months (driven by subgroup performance remediation, conformity documentation, and governance hardening)</t>
  </si>
  <si>
    <t>Proceed only with conditional launch: close critical representativeness gap, complete conformity package, and enforce post-market monitoring gates.</t>
  </si>
  <si>
    <t>Retrieval-augmented grounding, mandatory citation checks, unsafe-output blocker, physician confirmation for high-risk outputs.</t>
  </si>
  <si>
    <t>In Progress</t>
  </si>
  <si>
    <t>Rebalance data by underrepresented cohorts, subgroup-specific eval gates, fairness monitoring before release.</t>
  </si>
  <si>
    <t>Formal EU AI Act compliance program, conformity assessment workstream, external legal review checkpoints.</t>
  </si>
  <si>
    <t>Planned</t>
  </si>
  <si>
    <t>Strong de-identification, PII scanning, tokenization, strict access controls, periodic penetration/privacy tests.</t>
  </si>
  <si>
    <t>Multi-vendor contingency, SLA penalties, local fail-safe mode, business continuity runbooks.</t>
  </si>
  <si>
    <t>Drift detection KPIs, retraining triggers, monthly recalibration, shadow testing on new case mix.</t>
  </si>
  <si>
    <t>UX friction for blind acceptance, mandatory rationale display, physician training and override audit.</t>
  </si>
  <si>
    <t>SCC/TIA controls, EU data residency where feasible, transfer-impact assessments, DPO oversight.</t>
  </si>
  <si>
    <t>Documentation exists but not yet sufficient for full EU high-risk conformity expectations.</t>
  </si>
  <si>
    <t>Strongest area: SOC2/ISO posture and mature security controls.</t>
  </si>
  <si>
    <t>Governance process exists but lifecycle controls and change governance need strengthening.</t>
  </si>
  <si>
    <t>Acceptable baseline; concentration and continuity risk remain tied to provider dependency.</t>
  </si>
  <si>
    <t>Partial readiness; EU AI Act and fairness obligations require tighter commitments.</t>
  </si>
  <si>
    <t>65.2% overall: viable with conditions, not ready for unconditional approval.</t>
  </si>
  <si>
    <t>CONDITIONAL APPROVAL</t>
  </si>
  <si>
    <t>Strong security posture; acceptable uptime/SLA baseline; good API maturity; responsive technical support model.</t>
  </si>
  <si>
    <t>Limited assurance on subgroup fairness performance; regulatory readiness gaps for EU high-risk context; vendor concentration risk.</t>
  </si>
  <si>
    <t>Contractual milestones tied to fairness remediation, audit rights, incident transparency, and EU compliance evidence before go-live.</t>
  </si>
  <si>
    <t>Add DPA/SCC safeguards, right-to-audit, model-change notification SLA, exit/portability clauses, stricter incident-reporting terms.</t>
  </si>
  <si>
    <t>91.7% (meets 90% target). Strong overall top-3 accuracy.</t>
  </si>
  <si>
    <t>3.4% (does NOT meet &lt;2% target). Patient safety risk remains elevated.</t>
  </si>
  <si>
    <t>94.2% (below 95% target). Close but not yet compliant with threshold.</t>
  </si>
  <si>
    <t>2.8 seconds (meets &lt;5s SLA).</t>
  </si>
  <si>
    <t>Use your measured override figure from notebook logs; interpretation: sustained physician override indicates calibrated skepticism, but high override in weak subgroups suggests trust/performance mismatch.</t>
  </si>
  <si>
    <t>Male 92.1% vs Female 91.3% (0.8 pp gap, acceptable).</t>
  </si>
  <si>
    <t>18-40: 93.5%, 41-64: 92.0%, 65+: 88.9% (65+ below target).</t>
  </si>
  <si>
    <t>94.1% (meets target).</t>
  </si>
  <si>
    <t>90.3% (meets target, narrow margin).</t>
  </si>
  <si>
    <t>71.2% (18.8 pp below target). Material safety/equity concern for rare-condition support.</t>
  </si>
  <si>
    <t>84.3% (5.7 pp below target; likely language/translation artifact risk).</t>
  </si>
  <si>
    <t>74.0% (16.0 pp below target; weak for clinically complex patients).</t>
  </si>
  <si>
    <t>0.96 (meets &gt;0.90).</t>
  </si>
  <si>
    <t>0.91 (meets &gt;0.90; mild age disparity remains).</t>
  </si>
  <si>
    <t>0.94 (meets &gt;0.90; stable across major condition groups).</t>
  </si>
  <si>
    <t>Gender gap is small (0.8 pp) and operationally acceptable, but should remain monitored monthly.</t>
  </si>
  <si>
    <t>Age 65+ underperforms below threshold; elevated risk in older populations requires targeted retraining and human oversight safeguards.</t>
  </si>
  <si>
    <t>Rare disease, non-English, and multi-morbidity gaps are substantial and could create inequitable care quality in EU deployment.</t>
  </si>
  <si>
    <t>Parity metrics are encouraging but insufficient alone; outcome-level subgroup accuracy must be a hard launch gate.</t>
  </si>
  <si>
    <t>Bias risk concentrated in underserved cohorts; mitigation: targeted data enrichment, subgroup thresholds, and escalation if parity degrades.</t>
  </si>
  <si>
    <t>Safety controls include clinician-in-loop and escalation triggers, but hallucination and subgroup failures mean controls are not yet sufficient for unrestricted launch.</t>
  </si>
  <si>
    <t>Automation bias risk is real; enforce mandatory rationale review, override logging, and training that AI output is advisory only.</t>
  </si>
  <si>
    <t>Health data handling requires strict Article 9 GDPR safeguards, DPIA updates, and minimization/access enforcement; currently partial maturity.</t>
  </si>
  <si>
    <t>Key limits: high hallucination rate; weak rare-disease/multi-morbidity/non-English performance; incomplete conformity-ready documentation; vendor concentration risk.</t>
  </si>
  <si>
    <t>Before EU launch: (1) close subgroup gaps to threshold, (2) reduce hallucination to &lt;2%, (3) complete conformity/technical documentation, (4) harden post-market monitoring with stop/go triggers, (5) finalize contractual protections with vendor.</t>
  </si>
  <si>
    <t>Clinical Hallucination</t>
  </si>
  <si>
    <t>Model generates fabricated medical information, references, or diagnoses</t>
  </si>
  <si>
    <t>Recommending a drug that does not exist or citing a non-existent clinical trial</t>
  </si>
  <si>
    <t>S2-S1</t>
  </si>
  <si>
    <t>Automated reference verification, physician flagging</t>
  </si>
  <si>
    <t>Harmful Suggestion</t>
  </si>
  <si>
    <t>Model output could lead to patient harm if followed</t>
  </si>
  <si>
    <t>Suggesting contraindicated medication for documented allergy</t>
  </si>
  <si>
    <t>S1</t>
  </si>
  <si>
    <t>Physician reporting, safety filter logs</t>
  </si>
  <si>
    <t>Bias-Related Harm</t>
  </si>
  <si>
    <t>Model demonstrates systematic bias affecting care quality for specific groups</t>
  </si>
  <si>
    <t>Consistently lower diagnostic accuracy for a specific ethnic or age group</t>
  </si>
  <si>
    <t>Stratified performance monitoring, fairness dashboards</t>
  </si>
  <si>
    <t>Privacy Breach</t>
  </si>
  <si>
    <t>Patient identifiable information exposed through model behavior</t>
  </si>
  <si>
    <t>Model outputs patient name or MRN in response (de-identification failure)</t>
  </si>
  <si>
    <t>Automated PII scanning, audit log review</t>
  </si>
  <si>
    <t>Performance Degradation</t>
  </si>
  <si>
    <t>Significant drop in model accuracy or reliability</t>
  </si>
  <si>
    <t>Top-3 accuracy drops below 85% across all cases</t>
  </si>
  <si>
    <t>S3-S2</t>
  </si>
  <si>
    <t>Automated KPI monitoring alerts</t>
  </si>
  <si>
    <t>Adversarial Manipulation</t>
  </si>
  <si>
    <t>Deliberate attempt to manipulate model outputs</t>
  </si>
  <si>
    <t>Prompt injection via crafted clinical notes to alter diagnostic suggestions</t>
  </si>
  <si>
    <t>Security monitoring, anomaly detection</t>
  </si>
  <si>
    <t>Vendor Service Disruption</t>
  </si>
  <si>
    <t>FoundationHealth API outage or significant degradation</t>
  </si>
  <si>
    <t>API returns errors, timeouts, or unacceptable latency for &gt;15 minute</t>
  </si>
  <si>
    <t>Real-time API health checks</t>
  </si>
  <si>
    <t>Data Pipeline Failure</t>
  </si>
  <si>
    <t>Failure in data ingestion, de-identification, or processing</t>
  </si>
  <si>
    <t>De-identification engine fails; raw patient data sent to model API</t>
  </si>
  <si>
    <t>Pipeline health monitoring, automated validation</t>
  </si>
  <si>
    <t>Unauthorized Access</t>
  </si>
  <si>
    <t>Unauthorized user gains access to system or data</t>
  </si>
  <si>
    <t>Compromised physician credentials used to query ClinicalCompanion</t>
  </si>
  <si>
    <t>Authentication logs, SIEM alerts</t>
  </si>
  <si>
    <t>Regulatory Non-Compliance</t>
  </si>
  <si>
    <t>Discovery of non-compliance with applicable regulations</t>
  </si>
  <si>
    <t>Post-market monitoring requirement not met per EU AI Act deadline</t>
  </si>
  <si>
    <t>Compliance calendar, internal audit</t>
  </si>
  <si>
    <t>Immediate risk to patient safety or major regulatory violation; system must be halted</t>
  </si>
  <si>
    <t>Immediate (30 min)</t>
  </si>
  <si>
    <t xml:space="preserve">	Suspend system in affected facilities; notify users; preserve logs; activate full response team; notify regulators if required</t>
  </si>
  <si>
    <t>S2</t>
  </si>
  <si>
    <t>Potential risk to patient safety or significant compliance issue; urgent action required</t>
  </si>
  <si>
    <t>Within 2 hours</t>
  </si>
  <si>
    <t xml:space="preserve">	Restrict affected functionality; increase monitoring; notify facility admins; begin root cause analysis</t>
  </si>
  <si>
    <t>S3</t>
  </si>
  <si>
    <t>Degraded performance or moderate compliance concern; prompt action needed</t>
  </si>
  <si>
    <t>Within 24 hours</t>
  </si>
  <si>
    <t>Temporary guardrails; increased metric monitoring; scheduled fix next sprint</t>
  </si>
  <si>
    <t>S4</t>
  </si>
  <si>
    <t>Minor issue with limited impact; scheduled resolution acceptable</t>
  </si>
  <si>
    <t>Within 1 week</t>
  </si>
  <si>
    <t>Log incident; track in backlog; resolve in standard cycle</t>
  </si>
  <si>
    <t>Data Science Team Lead</t>
  </si>
  <si>
    <t>Escalation path: on-call Data Science/Platform triage first, then Incident Commander by severity (S1 CMO, S2 VP Eng, S3 Governance Analyst, S4 DS Lead), then Compliance/DPO if safety/privacy/regulatory impact.</t>
  </si>
  <si>
    <t>Regulatory notification per EU AI Act Article 62 for serious incidents: trigger on S1 safety harm, major rights impact, or serious malfunction; notify competent authority without undue delay with incident facts, scope, and corrective actions.</t>
  </si>
  <si>
    <t>Communicate to affected hospitals via incident bulletin: impact, safe-use guidance, workaround/rollback, expected resolution time, and follow-up closure notice.</t>
  </si>
  <si>
    <t>Post-incident review within 5 business days: root cause, control failures, corrective/preventive actions, owner/due dates, and governance register update.</t>
  </si>
  <si>
    <t>Current KPI set is strong but needs explicit subgroup launch gates (rare disease, non-English, multi-morbidity) and hallucination trend trigger tightening.</t>
  </si>
  <si>
    <t>ClinicalCompanion v1.0 is a transformer-based clinical decision support AI integrated via API for physician-facing diagnostic assistance.</t>
  </si>
  <si>
    <t>It provides ranked diagnostic suggestions, differential reasoning, and risk flags to support clinician decisions, not replace them.</t>
  </si>
  <si>
    <t>EU launch targeted after remediation and conformity completion; current readiness supports conditional timeline in next 6-9 months.</t>
  </si>
  <si>
    <t>HIGH-RISK under EU AI Act (Article 6(1) route via medical-device-linked obligations).</t>
  </si>
  <si>
    <t>Class IIa (assessment basis used in governance analysis).</t>
  </si>
  <si>
    <t>Key obligations: lifecycle risk management, data governance/representativeness, technical documentation + logging, human oversight + post-market monitoring.</t>
  </si>
  <si>
    <t>72.5% readiness (adequate but not launch-ready without conditions).</t>
  </si>
  <si>
    <t>Critical/urgent gaps: dataset representativeness for underserved cohorts, hallucination reduction, conformity-ready documentation, and stronger EU privacy/compliance controls.</t>
  </si>
  <si>
    <t>6-9 months, driven by model remediation cycles, validation evidence generation, and compliance documentation closure.</t>
  </si>
  <si>
    <t>Top risk: Clinical hallucination (score 20) due to direct patient safety and liability exposure if unsafe outputs are acted upon.</t>
  </si>
  <si>
    <t>8 total risks: 1 Critical, 5 High, 2 Medium; average score 15, max 20.</t>
  </si>
  <si>
    <t>Portfolio risk reduced ~47.5% after mitigations (120 to 63), but residual safety/compliance exposure remains material.</t>
  </si>
  <si>
    <t>FoundationHealth Inc.; overall 88/135 (65.2%), Medium vendor risk.</t>
  </si>
  <si>
    <t>CONDITIONAL APPROVAL with contractual and technical controls before production-scale EU deployment.</t>
  </si>
  <si>
    <t>Biggest concern is dependency on vendor model lifecycle and limited assurance on weak subgroup performance.</t>
  </si>
  <si>
    <t>Top-3 accuracy 91.7% meets target; overall performance acceptable at aggregate level.</t>
  </si>
  <si>
    <t>Underperforming subgroups: Rare Diseases (71.2%), Multi-morbidity (74.0%), Non-English Notes (84.3%), Age 65+ (88.9%).</t>
  </si>
  <si>
    <t>Hallucination 3.4% vs target &lt;2%: elevated patient safety risk requiring pre-launch correction and tighter controls.</t>
  </si>
  <si>
    <t>CONDITIONAL</t>
  </si>
  <si>
    <t>Launch only after subgroup thresholds are met, hallucination is reduced below target, and conformity documentation/governance controls are closed.</t>
  </si>
  <si>
    <t>1) Close rare-disease, multi-morbidity, non-English, and 65+ performance gaps. 2) Reduce hallucination below 2% with validated controls. 3) Complete conformity-assessment-ready technical documentation. 4) Enforce post-market monitoring and incident escalation gates. 5) Finalize vendor contractual safeguards (audit rights, change notices, SLA penalties, exit plan).</t>
  </si>
  <si>
    <t>6-9 months to readiness under active remediation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</si>
</sst>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2C3E50"/>
      <name val="Arial"/>
    </font>
    <font>
      <b/>
      <sz val="12"/>
      <color rgb="FFFFFFFF"/>
      <name val="Arial"/>
    </font>
    <font>
      <sz val="10"/>
      <name val="Arial"/>
    </font>
    <font>
      <i/>
      <sz val="10"/>
      <color rgb="FF7F8C8D"/>
      <name val="Arial"/>
    </font>
    <font>
      <b/>
      <sz val="10"/>
      <name val="Arial"/>
    </font>
    <font>
      <i/>
      <sz val="10"/>
      <color rgb="FF7F8C8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D5DBDB"/>
      </patternFill>
    </fill>
    <fill>
      <patternFill patternType="solid">
        <fgColor rgb="FF922B21"/>
      </patternFill>
    </fill>
    <fill>
      <patternFill patternType="solid">
        <fgColor rgb="FFF2F3F4"/>
      </patternFill>
    </fill>
    <fill>
      <patternFill patternType="solid">
        <fgColor rgb="FFFEF9E7"/>
      </patternFill>
    </fill>
    <fill>
      <patternFill patternType="solid">
        <fgColor rgb="FFD35400"/>
      </patternFill>
    </fill>
    <fill>
      <patternFill patternType="solid">
        <fgColor rgb="FF2980B9"/>
      </patternFill>
    </fill>
    <fill>
      <patternFill patternType="solid">
        <fgColor rgb="FF8E44AD"/>
      </patternFill>
    </fill>
    <fill>
      <patternFill patternType="solid">
        <fgColor rgb="FF229954"/>
      </patternFill>
    </fill>
    <fill>
      <patternFill patternType="solid">
        <fgColor rgb="FF6C3483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3" fillId="8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4" fillId="5" borderId="1" xfId="0" applyFont="1" applyFill="1" applyBorder="1" applyAlignment="1">
      <alignment vertical="top" wrapText="1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5" fillId="0" borderId="0" xfId="0" applyFont="1"/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4C3C"/>
  </sheetPr>
  <dimension ref="A1:F35"/>
  <sheetViews>
    <sheetView topLeftCell="A27" zoomScale="110" zoomScaleNormal="110" workbookViewId="0">
      <selection activeCell="B36" sqref="B36"/>
    </sheetView>
  </sheetViews>
  <sheetFormatPr baseColWidth="10" defaultColWidth="8.88671875" defaultRowHeight="14.4" x14ac:dyDescent="0.3"/>
  <cols>
    <col min="1" max="1" width="25" customWidth="1"/>
    <col min="2" max="2" width="35" customWidth="1"/>
    <col min="3" max="3" width="45" customWidth="1"/>
    <col min="4" max="4" width="35" customWidth="1"/>
    <col min="5" max="5" width="25" customWidth="1"/>
    <col min="6" max="6" width="40" customWidth="1"/>
  </cols>
  <sheetData>
    <row r="1" spans="1:6" ht="17.399999999999999" x14ac:dyDescent="0.3">
      <c r="A1" s="16" t="s">
        <v>0</v>
      </c>
      <c r="B1" s="17"/>
      <c r="C1" s="17"/>
      <c r="D1" s="17"/>
      <c r="E1" s="17"/>
      <c r="F1" s="17"/>
    </row>
    <row r="3" spans="1:6" x14ac:dyDescent="0.3">
      <c r="A3" s="1" t="s">
        <v>1</v>
      </c>
      <c r="B3" s="1"/>
      <c r="C3" s="1"/>
      <c r="D3" s="1"/>
      <c r="E3" s="1"/>
      <c r="F3" s="1"/>
    </row>
    <row r="4" spans="1:6" ht="15.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79.2" x14ac:dyDescent="0.3">
      <c r="A5" s="3" t="s">
        <v>8</v>
      </c>
      <c r="B5" s="3" t="s">
        <v>9</v>
      </c>
      <c r="C5" s="4" t="s">
        <v>421</v>
      </c>
      <c r="D5" s="4" t="s">
        <v>422</v>
      </c>
      <c r="E5" s="4" t="s">
        <v>10</v>
      </c>
      <c r="F5" s="4" t="s">
        <v>423</v>
      </c>
    </row>
    <row r="6" spans="1:6" ht="52.8" x14ac:dyDescent="0.3">
      <c r="A6" s="3" t="s">
        <v>11</v>
      </c>
      <c r="B6" s="3" t="s">
        <v>12</v>
      </c>
      <c r="C6" s="4" t="s">
        <v>424</v>
      </c>
      <c r="D6" s="4" t="s">
        <v>425</v>
      </c>
      <c r="E6" s="4" t="s">
        <v>13</v>
      </c>
      <c r="F6" s="4" t="s">
        <v>426</v>
      </c>
    </row>
    <row r="7" spans="1:6" ht="39.6" x14ac:dyDescent="0.3">
      <c r="A7" s="3" t="s">
        <v>14</v>
      </c>
      <c r="B7" s="3" t="s">
        <v>15</v>
      </c>
      <c r="C7" s="4" t="s">
        <v>424</v>
      </c>
      <c r="D7" s="4" t="s">
        <v>427</v>
      </c>
      <c r="E7" s="4" t="s">
        <v>16</v>
      </c>
      <c r="F7" s="4" t="s">
        <v>428</v>
      </c>
    </row>
    <row r="8" spans="1:6" ht="52.8" x14ac:dyDescent="0.3">
      <c r="A8" s="3" t="s">
        <v>17</v>
      </c>
      <c r="B8" s="3" t="s">
        <v>18</v>
      </c>
      <c r="C8" s="4" t="s">
        <v>429</v>
      </c>
      <c r="D8" s="4" t="s">
        <v>430</v>
      </c>
      <c r="E8" s="4" t="s">
        <v>431</v>
      </c>
      <c r="F8" s="4" t="s">
        <v>432</v>
      </c>
    </row>
    <row r="11" spans="1:6" x14ac:dyDescent="0.3">
      <c r="A11" s="1" t="s">
        <v>19</v>
      </c>
      <c r="B11" s="1"/>
      <c r="C11" s="1"/>
      <c r="D11" s="1"/>
      <c r="E11" s="1"/>
      <c r="F11" s="1"/>
    </row>
    <row r="12" spans="1:6" ht="15.6" x14ac:dyDescent="0.3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</row>
    <row r="13" spans="1:6" ht="39.6" x14ac:dyDescent="0.3">
      <c r="A13" s="3" t="s">
        <v>26</v>
      </c>
      <c r="B13" s="3" t="s">
        <v>27</v>
      </c>
      <c r="C13" s="3" t="s">
        <v>28</v>
      </c>
      <c r="D13" s="4" t="s">
        <v>433</v>
      </c>
      <c r="E13" s="4" t="s">
        <v>434</v>
      </c>
      <c r="F13" s="4" t="s">
        <v>435</v>
      </c>
    </row>
    <row r="14" spans="1:6" ht="39.6" x14ac:dyDescent="0.3">
      <c r="A14" s="3" t="s">
        <v>26</v>
      </c>
      <c r="B14" s="3" t="s">
        <v>29</v>
      </c>
      <c r="C14" s="3" t="s">
        <v>30</v>
      </c>
      <c r="D14" s="4" t="s">
        <v>433</v>
      </c>
      <c r="E14" s="4" t="s">
        <v>434</v>
      </c>
      <c r="F14" s="4" t="s">
        <v>436</v>
      </c>
    </row>
    <row r="15" spans="1:6" ht="39.6" x14ac:dyDescent="0.3">
      <c r="A15" s="3" t="s">
        <v>26</v>
      </c>
      <c r="B15" s="3" t="s">
        <v>31</v>
      </c>
      <c r="C15" s="3" t="s">
        <v>32</v>
      </c>
      <c r="D15" s="4" t="s">
        <v>433</v>
      </c>
      <c r="E15" s="4" t="s">
        <v>437</v>
      </c>
      <c r="F15" s="4" t="s">
        <v>438</v>
      </c>
    </row>
    <row r="16" spans="1:6" ht="39.6" x14ac:dyDescent="0.3">
      <c r="A16" s="3" t="s">
        <v>33</v>
      </c>
      <c r="B16" s="3" t="s">
        <v>34</v>
      </c>
      <c r="C16" s="3" t="s">
        <v>35</v>
      </c>
      <c r="D16" s="4" t="s">
        <v>433</v>
      </c>
      <c r="E16" s="4" t="s">
        <v>434</v>
      </c>
      <c r="F16" s="4" t="s">
        <v>439</v>
      </c>
    </row>
    <row r="17" spans="1:6" ht="52.8" x14ac:dyDescent="0.3">
      <c r="A17" s="3" t="s">
        <v>33</v>
      </c>
      <c r="B17" s="3" t="s">
        <v>36</v>
      </c>
      <c r="C17" s="3" t="s">
        <v>37</v>
      </c>
      <c r="D17" s="4" t="s">
        <v>440</v>
      </c>
      <c r="E17" s="4" t="s">
        <v>441</v>
      </c>
      <c r="F17" s="4" t="s">
        <v>442</v>
      </c>
    </row>
    <row r="18" spans="1:6" ht="39.6" x14ac:dyDescent="0.3">
      <c r="A18" s="3" t="s">
        <v>33</v>
      </c>
      <c r="B18" s="3" t="s">
        <v>38</v>
      </c>
      <c r="C18" s="3" t="s">
        <v>39</v>
      </c>
      <c r="D18" s="4" t="s">
        <v>433</v>
      </c>
      <c r="E18" s="4" t="s">
        <v>434</v>
      </c>
      <c r="F18" s="4" t="s">
        <v>443</v>
      </c>
    </row>
    <row r="19" spans="1:6" ht="39.6" x14ac:dyDescent="0.3">
      <c r="A19" s="3" t="s">
        <v>40</v>
      </c>
      <c r="B19" s="3" t="s">
        <v>41</v>
      </c>
      <c r="C19" s="3" t="s">
        <v>42</v>
      </c>
      <c r="D19" s="4" t="s">
        <v>433</v>
      </c>
      <c r="E19" s="4" t="s">
        <v>437</v>
      </c>
      <c r="F19" s="4" t="s">
        <v>444</v>
      </c>
    </row>
    <row r="20" spans="1:6" ht="39.6" x14ac:dyDescent="0.3">
      <c r="A20" s="3" t="s">
        <v>43</v>
      </c>
      <c r="B20" s="3" t="s">
        <v>44</v>
      </c>
      <c r="C20" s="3" t="s">
        <v>45</v>
      </c>
      <c r="D20" s="4" t="s">
        <v>433</v>
      </c>
      <c r="E20" s="4" t="s">
        <v>437</v>
      </c>
      <c r="F20" s="4" t="s">
        <v>445</v>
      </c>
    </row>
    <row r="21" spans="1:6" ht="26.4" x14ac:dyDescent="0.3">
      <c r="A21" s="3" t="s">
        <v>43</v>
      </c>
      <c r="B21" s="3" t="s">
        <v>46</v>
      </c>
      <c r="C21" s="3" t="s">
        <v>47</v>
      </c>
      <c r="D21" s="4" t="s">
        <v>433</v>
      </c>
      <c r="E21" s="4" t="s">
        <v>446</v>
      </c>
      <c r="F21" s="4" t="s">
        <v>447</v>
      </c>
    </row>
    <row r="22" spans="1:6" ht="39.6" x14ac:dyDescent="0.3">
      <c r="A22" s="3" t="s">
        <v>48</v>
      </c>
      <c r="B22" s="3" t="s">
        <v>49</v>
      </c>
      <c r="C22" s="3" t="s">
        <v>50</v>
      </c>
      <c r="D22" s="4" t="s">
        <v>433</v>
      </c>
      <c r="E22" s="4" t="s">
        <v>437</v>
      </c>
      <c r="F22" s="4" t="s">
        <v>448</v>
      </c>
    </row>
    <row r="23" spans="1:6" ht="39.6" x14ac:dyDescent="0.3">
      <c r="A23" s="3" t="s">
        <v>48</v>
      </c>
      <c r="B23" s="3" t="s">
        <v>51</v>
      </c>
      <c r="C23" s="3" t="s">
        <v>52</v>
      </c>
      <c r="D23" s="4" t="s">
        <v>433</v>
      </c>
      <c r="E23" s="4" t="s">
        <v>437</v>
      </c>
      <c r="F23" s="4" t="s">
        <v>449</v>
      </c>
    </row>
    <row r="24" spans="1:6" ht="39.6" x14ac:dyDescent="0.3">
      <c r="A24" s="3" t="s">
        <v>53</v>
      </c>
      <c r="B24" s="3" t="s">
        <v>54</v>
      </c>
      <c r="C24" s="3" t="s">
        <v>55</v>
      </c>
      <c r="D24" s="4" t="s">
        <v>433</v>
      </c>
      <c r="E24" s="4" t="s">
        <v>437</v>
      </c>
      <c r="F24" s="4" t="s">
        <v>450</v>
      </c>
    </row>
    <row r="25" spans="1:6" ht="26.4" x14ac:dyDescent="0.3">
      <c r="A25" s="3" t="s">
        <v>53</v>
      </c>
      <c r="B25" s="3" t="s">
        <v>56</v>
      </c>
      <c r="C25" s="3" t="s">
        <v>57</v>
      </c>
      <c r="D25" s="4" t="s">
        <v>451</v>
      </c>
      <c r="E25" s="4" t="s">
        <v>446</v>
      </c>
      <c r="F25" s="4" t="s">
        <v>452</v>
      </c>
    </row>
    <row r="26" spans="1:6" ht="39.6" x14ac:dyDescent="0.3">
      <c r="A26" s="3" t="s">
        <v>58</v>
      </c>
      <c r="B26" s="3" t="s">
        <v>59</v>
      </c>
      <c r="C26" s="3" t="s">
        <v>60</v>
      </c>
      <c r="D26" s="4" t="s">
        <v>433</v>
      </c>
      <c r="E26" s="4" t="s">
        <v>434</v>
      </c>
      <c r="F26" s="4" t="s">
        <v>453</v>
      </c>
    </row>
    <row r="27" spans="1:6" ht="39.6" x14ac:dyDescent="0.3">
      <c r="A27" s="3" t="s">
        <v>58</v>
      </c>
      <c r="B27" s="3" t="s">
        <v>61</v>
      </c>
      <c r="C27" s="3" t="s">
        <v>62</v>
      </c>
      <c r="D27" s="4" t="s">
        <v>433</v>
      </c>
      <c r="E27" s="4" t="s">
        <v>437</v>
      </c>
      <c r="F27" s="4" t="s">
        <v>454</v>
      </c>
    </row>
    <row r="28" spans="1:6" ht="39.6" x14ac:dyDescent="0.3">
      <c r="A28" s="3" t="s">
        <v>58</v>
      </c>
      <c r="B28" s="3" t="s">
        <v>63</v>
      </c>
      <c r="C28" s="3" t="s">
        <v>64</v>
      </c>
      <c r="D28" s="4" t="s">
        <v>433</v>
      </c>
      <c r="E28" s="4" t="s">
        <v>434</v>
      </c>
      <c r="F28" s="4" t="s">
        <v>455</v>
      </c>
    </row>
    <row r="31" spans="1:6" x14ac:dyDescent="0.3">
      <c r="A31" s="1" t="s">
        <v>65</v>
      </c>
      <c r="B31" s="1"/>
      <c r="C31" s="1"/>
      <c r="D31" s="1"/>
      <c r="E31" s="1"/>
      <c r="F31" s="1"/>
    </row>
    <row r="32" spans="1:6" x14ac:dyDescent="0.3">
      <c r="A32" s="5" t="s">
        <v>66</v>
      </c>
      <c r="B32" s="13" t="s">
        <v>429</v>
      </c>
      <c r="C32" s="14"/>
      <c r="D32" s="14"/>
      <c r="E32" s="14"/>
      <c r="F32" s="15"/>
    </row>
    <row r="33" spans="1:6" ht="26.4" x14ac:dyDescent="0.3">
      <c r="A33" s="5" t="s">
        <v>67</v>
      </c>
      <c r="B33" s="13" t="s">
        <v>456</v>
      </c>
      <c r="C33" s="14"/>
      <c r="D33" s="14"/>
      <c r="E33" s="14"/>
      <c r="F33" s="15"/>
    </row>
    <row r="34" spans="1:6" x14ac:dyDescent="0.3">
      <c r="A34" s="5" t="s">
        <v>68</v>
      </c>
      <c r="B34" s="13" t="s">
        <v>457</v>
      </c>
      <c r="C34" s="14"/>
      <c r="D34" s="14"/>
      <c r="E34" s="14"/>
      <c r="F34" s="15"/>
    </row>
    <row r="35" spans="1:6" ht="26.4" x14ac:dyDescent="0.3">
      <c r="A35" s="5" t="s">
        <v>69</v>
      </c>
      <c r="B35" s="13" t="s">
        <v>458</v>
      </c>
      <c r="C35" s="14"/>
      <c r="D35" s="14"/>
      <c r="E35" s="14"/>
      <c r="F35" s="15"/>
    </row>
  </sheetData>
  <mergeCells count="5">
    <mergeCell ref="B34:F34"/>
    <mergeCell ref="B33:F33"/>
    <mergeCell ref="A1:F1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7E22"/>
  </sheetPr>
  <dimension ref="A1:N21"/>
  <sheetViews>
    <sheetView topLeftCell="D10" workbookViewId="0">
      <selection activeCell="N27" sqref="N27"/>
    </sheetView>
  </sheetViews>
  <sheetFormatPr baseColWidth="10" defaultColWidth="8.88671875" defaultRowHeight="14.4" x14ac:dyDescent="0.3"/>
  <cols>
    <col min="1" max="1" width="12" customWidth="1"/>
    <col min="2" max="2" width="18" customWidth="1"/>
    <col min="3" max="3" width="16" customWidth="1"/>
    <col min="4" max="4" width="55" customWidth="1"/>
    <col min="5" max="5" width="20" customWidth="1"/>
    <col min="6" max="9" width="13" customWidth="1"/>
    <col min="10" max="10" width="50" customWidth="1"/>
    <col min="11" max="11" width="14" customWidth="1"/>
    <col min="12" max="14" width="13" customWidth="1"/>
  </cols>
  <sheetData>
    <row r="1" spans="1:14" ht="17.399999999999999" x14ac:dyDescent="0.3">
      <c r="A1" s="18" t="s">
        <v>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 ht="46.8" x14ac:dyDescent="0.3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76</v>
      </c>
      <c r="G3" s="6" t="s">
        <v>77</v>
      </c>
      <c r="H3" s="6" t="s">
        <v>78</v>
      </c>
      <c r="I3" s="6" t="s">
        <v>79</v>
      </c>
      <c r="J3" s="6" t="s">
        <v>80</v>
      </c>
      <c r="K3" s="6" t="s">
        <v>81</v>
      </c>
      <c r="L3" s="6" t="s">
        <v>82</v>
      </c>
      <c r="M3" s="6" t="s">
        <v>83</v>
      </c>
      <c r="N3" s="6" t="s">
        <v>84</v>
      </c>
    </row>
    <row r="4" spans="1:14" ht="39.6" x14ac:dyDescent="0.3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>
        <v>4</v>
      </c>
      <c r="G4" s="3">
        <v>5</v>
      </c>
      <c r="H4" s="3">
        <v>20</v>
      </c>
      <c r="I4" s="4" t="s">
        <v>441</v>
      </c>
      <c r="J4" s="4" t="s">
        <v>459</v>
      </c>
      <c r="K4" s="4" t="s">
        <v>460</v>
      </c>
      <c r="L4" s="4">
        <v>3</v>
      </c>
      <c r="M4" s="4">
        <v>4</v>
      </c>
      <c r="N4" s="7">
        <f t="shared" ref="N4:N11" si="0">IF(AND(L4&lt;&gt;"",M4&lt;&gt;""),L4*M4,"")</f>
        <v>12</v>
      </c>
    </row>
    <row r="5" spans="1:14" ht="39.6" x14ac:dyDescent="0.3">
      <c r="A5" s="3" t="s">
        <v>90</v>
      </c>
      <c r="B5" s="3" t="s">
        <v>91</v>
      </c>
      <c r="C5" s="3" t="s">
        <v>92</v>
      </c>
      <c r="D5" s="3" t="s">
        <v>93</v>
      </c>
      <c r="E5" s="3" t="s">
        <v>94</v>
      </c>
      <c r="F5" s="3">
        <v>4</v>
      </c>
      <c r="G5" s="3">
        <v>4</v>
      </c>
      <c r="H5" s="3">
        <v>16</v>
      </c>
      <c r="I5" s="4" t="s">
        <v>434</v>
      </c>
      <c r="J5" s="4" t="s">
        <v>461</v>
      </c>
      <c r="K5" s="4" t="s">
        <v>460</v>
      </c>
      <c r="L5" s="4">
        <v>3</v>
      </c>
      <c r="M5" s="4">
        <v>3</v>
      </c>
      <c r="N5" s="7">
        <f t="shared" si="0"/>
        <v>9</v>
      </c>
    </row>
    <row r="6" spans="1:14" ht="39.6" x14ac:dyDescent="0.3">
      <c r="A6" s="3" t="s">
        <v>95</v>
      </c>
      <c r="B6" s="3" t="s">
        <v>96</v>
      </c>
      <c r="C6" s="3" t="s">
        <v>97</v>
      </c>
      <c r="D6" s="3" t="s">
        <v>98</v>
      </c>
      <c r="E6" s="3" t="s">
        <v>99</v>
      </c>
      <c r="F6" s="3">
        <v>3</v>
      </c>
      <c r="G6" s="3">
        <v>5</v>
      </c>
      <c r="H6" s="3">
        <v>15</v>
      </c>
      <c r="I6" s="4" t="s">
        <v>434</v>
      </c>
      <c r="J6" s="4" t="s">
        <v>462</v>
      </c>
      <c r="K6" s="4" t="s">
        <v>463</v>
      </c>
      <c r="L6" s="4">
        <v>2</v>
      </c>
      <c r="M6" s="4">
        <v>4</v>
      </c>
      <c r="N6" s="7">
        <f t="shared" si="0"/>
        <v>8</v>
      </c>
    </row>
    <row r="7" spans="1:14" ht="39.6" x14ac:dyDescent="0.3">
      <c r="A7" s="3" t="s">
        <v>100</v>
      </c>
      <c r="B7" s="3" t="s">
        <v>101</v>
      </c>
      <c r="C7" s="3" t="s">
        <v>102</v>
      </c>
      <c r="D7" s="3" t="s">
        <v>103</v>
      </c>
      <c r="E7" s="3" t="s">
        <v>104</v>
      </c>
      <c r="F7" s="3">
        <v>3</v>
      </c>
      <c r="G7" s="3">
        <v>5</v>
      </c>
      <c r="H7" s="3">
        <v>15</v>
      </c>
      <c r="I7" s="4" t="s">
        <v>434</v>
      </c>
      <c r="J7" s="4" t="s">
        <v>464</v>
      </c>
      <c r="K7" s="4" t="s">
        <v>460</v>
      </c>
      <c r="L7" s="4">
        <v>2</v>
      </c>
      <c r="M7" s="4">
        <v>4</v>
      </c>
      <c r="N7" s="7">
        <f t="shared" si="0"/>
        <v>8</v>
      </c>
    </row>
    <row r="8" spans="1:14" ht="52.8" x14ac:dyDescent="0.3">
      <c r="A8" s="3" t="s">
        <v>105</v>
      </c>
      <c r="B8" s="3" t="s">
        <v>106</v>
      </c>
      <c r="C8" s="3" t="s">
        <v>102</v>
      </c>
      <c r="D8" s="3" t="s">
        <v>107</v>
      </c>
      <c r="E8" s="3" t="s">
        <v>89</v>
      </c>
      <c r="F8" s="3">
        <v>3</v>
      </c>
      <c r="G8" s="3">
        <v>4</v>
      </c>
      <c r="H8" s="3">
        <v>12</v>
      </c>
      <c r="I8" s="25" t="s">
        <v>437</v>
      </c>
      <c r="J8" s="25" t="s">
        <v>465</v>
      </c>
      <c r="K8" s="25" t="s">
        <v>463</v>
      </c>
      <c r="L8" s="4">
        <v>2</v>
      </c>
      <c r="M8" s="4">
        <v>3</v>
      </c>
      <c r="N8" s="7">
        <f t="shared" si="0"/>
        <v>6</v>
      </c>
    </row>
    <row r="9" spans="1:14" ht="39.6" x14ac:dyDescent="0.3">
      <c r="A9" s="3" t="s">
        <v>108</v>
      </c>
      <c r="B9" s="3" t="s">
        <v>86</v>
      </c>
      <c r="C9" s="3" t="s">
        <v>87</v>
      </c>
      <c r="D9" s="3" t="s">
        <v>109</v>
      </c>
      <c r="E9" s="3" t="s">
        <v>89</v>
      </c>
      <c r="F9" s="3">
        <v>3</v>
      </c>
      <c r="G9" s="3">
        <v>4</v>
      </c>
      <c r="H9" s="3">
        <v>12</v>
      </c>
      <c r="I9" s="25" t="s">
        <v>437</v>
      </c>
      <c r="J9" s="25" t="s">
        <v>466</v>
      </c>
      <c r="K9" s="25" t="s">
        <v>460</v>
      </c>
      <c r="L9" s="4">
        <v>2</v>
      </c>
      <c r="M9" s="4">
        <v>3</v>
      </c>
      <c r="N9" s="7">
        <f t="shared" si="0"/>
        <v>6</v>
      </c>
    </row>
    <row r="10" spans="1:14" ht="39.6" x14ac:dyDescent="0.3">
      <c r="A10" s="3" t="s">
        <v>110</v>
      </c>
      <c r="B10" s="3" t="s">
        <v>111</v>
      </c>
      <c r="C10" s="3" t="s">
        <v>92</v>
      </c>
      <c r="D10" s="3" t="s">
        <v>112</v>
      </c>
      <c r="E10" s="3" t="s">
        <v>94</v>
      </c>
      <c r="F10" s="3">
        <v>3</v>
      </c>
      <c r="G10" s="3">
        <v>5</v>
      </c>
      <c r="H10" s="3">
        <v>15</v>
      </c>
      <c r="I10" s="25" t="s">
        <v>434</v>
      </c>
      <c r="J10" s="25" t="s">
        <v>467</v>
      </c>
      <c r="K10" s="25" t="s">
        <v>463</v>
      </c>
      <c r="L10" s="4">
        <v>2</v>
      </c>
      <c r="M10" s="4">
        <v>4</v>
      </c>
      <c r="N10" s="7">
        <f t="shared" si="0"/>
        <v>8</v>
      </c>
    </row>
    <row r="11" spans="1:14" ht="39.6" x14ac:dyDescent="0.3">
      <c r="A11" s="3" t="s">
        <v>113</v>
      </c>
      <c r="B11" s="3" t="s">
        <v>96</v>
      </c>
      <c r="C11" s="3" t="s">
        <v>97</v>
      </c>
      <c r="D11" s="3" t="s">
        <v>114</v>
      </c>
      <c r="E11" s="3" t="s">
        <v>104</v>
      </c>
      <c r="F11" s="3">
        <v>3</v>
      </c>
      <c r="G11" s="3">
        <v>5</v>
      </c>
      <c r="H11" s="3">
        <v>15</v>
      </c>
      <c r="I11" s="25" t="s">
        <v>434</v>
      </c>
      <c r="J11" s="25" t="s">
        <v>468</v>
      </c>
      <c r="K11" s="25" t="s">
        <v>463</v>
      </c>
      <c r="L11" s="4">
        <v>2</v>
      </c>
      <c r="M11" s="4">
        <v>3</v>
      </c>
      <c r="N11" s="7">
        <f t="shared" si="0"/>
        <v>6</v>
      </c>
    </row>
    <row r="13" spans="1:14" x14ac:dyDescent="0.3">
      <c r="A13" s="1" t="s">
        <v>115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5" t="s">
        <v>116</v>
      </c>
      <c r="B14" s="8">
        <v>8</v>
      </c>
      <c r="D14" s="5" t="s">
        <v>117</v>
      </c>
      <c r="E14" s="9">
        <v>15</v>
      </c>
    </row>
    <row r="15" spans="1:14" ht="26.4" x14ac:dyDescent="0.3">
      <c r="A15" s="5" t="s">
        <v>118</v>
      </c>
      <c r="B15" s="8">
        <v>1</v>
      </c>
      <c r="D15" s="5" t="s">
        <v>119</v>
      </c>
      <c r="E15" s="8">
        <v>20</v>
      </c>
    </row>
    <row r="16" spans="1:14" ht="26.4" x14ac:dyDescent="0.3">
      <c r="A16" s="5" t="s">
        <v>120</v>
      </c>
      <c r="B16" s="8">
        <v>5</v>
      </c>
    </row>
    <row r="18" spans="1:14" x14ac:dyDescent="0.3">
      <c r="A18" s="1" t="s">
        <v>121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6.4" x14ac:dyDescent="0.3">
      <c r="A19" s="3" t="s">
        <v>122</v>
      </c>
      <c r="B19" s="3" t="s">
        <v>123</v>
      </c>
      <c r="C19" s="3" t="s">
        <v>124</v>
      </c>
      <c r="D19" s="3" t="s">
        <v>125</v>
      </c>
      <c r="E19" s="3" t="s">
        <v>126</v>
      </c>
      <c r="F19" s="3" t="s">
        <v>127</v>
      </c>
    </row>
    <row r="20" spans="1:14" ht="26.4" x14ac:dyDescent="0.3">
      <c r="A20" s="3" t="s">
        <v>128</v>
      </c>
      <c r="B20" s="3" t="s">
        <v>129</v>
      </c>
      <c r="C20" s="3" t="s">
        <v>130</v>
      </c>
      <c r="D20" s="3" t="s">
        <v>131</v>
      </c>
      <c r="E20" s="3" t="s">
        <v>132</v>
      </c>
      <c r="F20" s="3" t="s">
        <v>133</v>
      </c>
    </row>
    <row r="21" spans="1:14" x14ac:dyDescent="0.3">
      <c r="A21" s="3" t="s">
        <v>79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s">
        <v>138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98DB"/>
  </sheetPr>
  <dimension ref="A1:G28"/>
  <sheetViews>
    <sheetView topLeftCell="A17" workbookViewId="0">
      <selection activeCell="B29" sqref="B29"/>
    </sheetView>
  </sheetViews>
  <sheetFormatPr baseColWidth="10" defaultColWidth="8.88671875" defaultRowHeight="14.4" x14ac:dyDescent="0.3"/>
  <cols>
    <col min="1" max="1" width="35" customWidth="1"/>
    <col min="2" max="6" width="20" customWidth="1"/>
    <col min="7" max="7" width="35" customWidth="1"/>
  </cols>
  <sheetData>
    <row r="1" spans="1:7" ht="17.399999999999999" x14ac:dyDescent="0.3">
      <c r="A1" s="19" t="s">
        <v>139</v>
      </c>
      <c r="B1" s="17"/>
      <c r="C1" s="17"/>
      <c r="D1" s="17"/>
      <c r="E1" s="17"/>
      <c r="F1" s="17"/>
      <c r="G1" s="17"/>
    </row>
    <row r="3" spans="1:7" x14ac:dyDescent="0.3">
      <c r="A3" s="1" t="s">
        <v>140</v>
      </c>
      <c r="B3" s="1"/>
      <c r="C3" s="1"/>
      <c r="D3" s="1"/>
      <c r="E3" s="1"/>
      <c r="F3" s="1"/>
      <c r="G3" s="1"/>
    </row>
    <row r="4" spans="1:7" x14ac:dyDescent="0.3">
      <c r="A4" s="5" t="s">
        <v>141</v>
      </c>
      <c r="B4" s="3" t="s">
        <v>142</v>
      </c>
    </row>
    <row r="5" spans="1:7" x14ac:dyDescent="0.3">
      <c r="A5" s="5" t="s">
        <v>143</v>
      </c>
      <c r="B5" s="3" t="s">
        <v>144</v>
      </c>
    </row>
    <row r="6" spans="1:7" ht="26.4" x14ac:dyDescent="0.3">
      <c r="A6" s="5" t="s">
        <v>145</v>
      </c>
      <c r="B6" s="3" t="s">
        <v>146</v>
      </c>
    </row>
    <row r="7" spans="1:7" ht="26.4" x14ac:dyDescent="0.3">
      <c r="A7" s="5" t="s">
        <v>147</v>
      </c>
      <c r="B7" s="3" t="s">
        <v>148</v>
      </c>
    </row>
    <row r="8" spans="1:7" x14ac:dyDescent="0.3">
      <c r="A8" s="5" t="s">
        <v>149</v>
      </c>
      <c r="B8" s="3" t="s">
        <v>150</v>
      </c>
    </row>
    <row r="9" spans="1:7" ht="26.4" x14ac:dyDescent="0.3">
      <c r="A9" s="5" t="s">
        <v>151</v>
      </c>
      <c r="B9" s="3" t="s">
        <v>152</v>
      </c>
    </row>
    <row r="10" spans="1:7" x14ac:dyDescent="0.3">
      <c r="A10" s="5" t="s">
        <v>153</v>
      </c>
      <c r="B10" s="3" t="s">
        <v>154</v>
      </c>
    </row>
    <row r="11" spans="1:7" x14ac:dyDescent="0.3">
      <c r="A11" s="5" t="s">
        <v>155</v>
      </c>
      <c r="B11" s="3" t="s">
        <v>156</v>
      </c>
    </row>
    <row r="13" spans="1:7" x14ac:dyDescent="0.3">
      <c r="A13" s="1" t="s">
        <v>157</v>
      </c>
      <c r="B13" s="1"/>
      <c r="C13" s="1"/>
      <c r="D13" s="1"/>
      <c r="E13" s="1"/>
      <c r="F13" s="1"/>
      <c r="G13" s="1"/>
    </row>
    <row r="14" spans="1:7" ht="31.2" x14ac:dyDescent="0.3">
      <c r="A14" s="10" t="s">
        <v>158</v>
      </c>
      <c r="B14" s="10" t="s">
        <v>159</v>
      </c>
      <c r="C14" s="10" t="s">
        <v>160</v>
      </c>
      <c r="D14" s="10" t="s">
        <v>161</v>
      </c>
      <c r="E14" s="10" t="s">
        <v>162</v>
      </c>
      <c r="F14" s="10" t="s">
        <v>163</v>
      </c>
      <c r="G14" s="10" t="s">
        <v>164</v>
      </c>
    </row>
    <row r="15" spans="1:7" ht="39.6" x14ac:dyDescent="0.3">
      <c r="A15" s="3" t="s">
        <v>165</v>
      </c>
      <c r="B15" s="3">
        <v>5</v>
      </c>
      <c r="C15" s="4">
        <v>15</v>
      </c>
      <c r="D15" s="3">
        <v>25</v>
      </c>
      <c r="E15" s="11">
        <f t="shared" ref="E15:E20" si="0">IF(C15&lt;&gt;"",C15/D15*100,"")</f>
        <v>60</v>
      </c>
      <c r="F15" s="25" t="s">
        <v>437</v>
      </c>
      <c r="G15" s="25" t="s">
        <v>469</v>
      </c>
    </row>
    <row r="16" spans="1:7" ht="26.4" x14ac:dyDescent="0.3">
      <c r="A16" s="3" t="s">
        <v>166</v>
      </c>
      <c r="B16" s="3">
        <v>6</v>
      </c>
      <c r="C16" s="4">
        <v>25</v>
      </c>
      <c r="D16" s="3">
        <v>30</v>
      </c>
      <c r="E16" s="11">
        <f t="shared" si="0"/>
        <v>83.333333333333343</v>
      </c>
      <c r="F16" s="25" t="s">
        <v>446</v>
      </c>
      <c r="G16" s="25" t="s">
        <v>470</v>
      </c>
    </row>
    <row r="17" spans="1:7" ht="39.6" x14ac:dyDescent="0.3">
      <c r="A17" s="3" t="s">
        <v>167</v>
      </c>
      <c r="B17" s="3">
        <v>5</v>
      </c>
      <c r="C17" s="4">
        <v>15</v>
      </c>
      <c r="D17" s="3">
        <v>25</v>
      </c>
      <c r="E17" s="11">
        <f t="shared" si="0"/>
        <v>60</v>
      </c>
      <c r="F17" s="25" t="s">
        <v>437</v>
      </c>
      <c r="G17" s="25" t="s">
        <v>471</v>
      </c>
    </row>
    <row r="18" spans="1:7" ht="39.6" x14ac:dyDescent="0.3">
      <c r="A18" s="3" t="s">
        <v>168</v>
      </c>
      <c r="B18" s="3">
        <v>6</v>
      </c>
      <c r="C18" s="4">
        <v>18</v>
      </c>
      <c r="D18" s="3">
        <v>30</v>
      </c>
      <c r="E18" s="11">
        <f t="shared" si="0"/>
        <v>60</v>
      </c>
      <c r="F18" s="25" t="s">
        <v>437</v>
      </c>
      <c r="G18" s="25" t="s">
        <v>472</v>
      </c>
    </row>
    <row r="19" spans="1:7" ht="39.6" x14ac:dyDescent="0.3">
      <c r="A19" s="3" t="s">
        <v>169</v>
      </c>
      <c r="B19" s="3">
        <v>5</v>
      </c>
      <c r="C19" s="4">
        <v>15</v>
      </c>
      <c r="D19" s="3">
        <v>25</v>
      </c>
      <c r="E19" s="11">
        <f t="shared" si="0"/>
        <v>60</v>
      </c>
      <c r="F19" s="25" t="s">
        <v>437</v>
      </c>
      <c r="G19" s="25" t="s">
        <v>473</v>
      </c>
    </row>
    <row r="20" spans="1:7" ht="26.4" x14ac:dyDescent="0.3">
      <c r="A20" s="5" t="s">
        <v>170</v>
      </c>
      <c r="B20" s="3">
        <v>27</v>
      </c>
      <c r="C20" s="8">
        <f>SUM(C15:C19)</f>
        <v>88</v>
      </c>
      <c r="D20" s="3">
        <v>135</v>
      </c>
      <c r="E20" s="9">
        <f t="shared" si="0"/>
        <v>65.18518518518519</v>
      </c>
      <c r="F20" s="25" t="s">
        <v>437</v>
      </c>
      <c r="G20" s="25" t="s">
        <v>474</v>
      </c>
    </row>
    <row r="21" spans="1:7" x14ac:dyDescent="0.3">
      <c r="A21" s="5" t="s">
        <v>171</v>
      </c>
      <c r="B21" s="3" t="s">
        <v>172</v>
      </c>
      <c r="C21" s="3" t="s">
        <v>173</v>
      </c>
      <c r="D21" s="3" t="s">
        <v>174</v>
      </c>
    </row>
    <row r="23" spans="1:7" x14ac:dyDescent="0.3">
      <c r="A23" s="1" t="s">
        <v>175</v>
      </c>
      <c r="B23" s="1"/>
      <c r="C23" s="1"/>
      <c r="D23" s="1"/>
      <c r="E23" s="1"/>
      <c r="F23" s="1"/>
      <c r="G23" s="1"/>
    </row>
    <row r="24" spans="1:7" x14ac:dyDescent="0.3">
      <c r="A24" s="5" t="s">
        <v>176</v>
      </c>
      <c r="B24" s="26" t="s">
        <v>475</v>
      </c>
      <c r="C24" s="14"/>
      <c r="D24" s="14"/>
      <c r="E24" s="14"/>
      <c r="F24" s="14"/>
      <c r="G24" s="15"/>
    </row>
    <row r="25" spans="1:7" x14ac:dyDescent="0.3">
      <c r="A25" s="5" t="s">
        <v>177</v>
      </c>
      <c r="B25" s="26" t="s">
        <v>476</v>
      </c>
      <c r="C25" s="14"/>
      <c r="D25" s="14"/>
      <c r="E25" s="14"/>
      <c r="F25" s="14"/>
      <c r="G25" s="15"/>
    </row>
    <row r="26" spans="1:7" x14ac:dyDescent="0.3">
      <c r="A26" s="5" t="s">
        <v>178</v>
      </c>
      <c r="B26" s="26" t="s">
        <v>477</v>
      </c>
      <c r="C26" s="14"/>
      <c r="D26" s="14"/>
      <c r="E26" s="14"/>
      <c r="F26" s="14"/>
      <c r="G26" s="15"/>
    </row>
    <row r="27" spans="1:7" x14ac:dyDescent="0.3">
      <c r="A27" s="5" t="s">
        <v>179</v>
      </c>
      <c r="B27" s="26" t="s">
        <v>478</v>
      </c>
      <c r="C27" s="14"/>
      <c r="D27" s="14"/>
      <c r="E27" s="14"/>
      <c r="F27" s="14"/>
      <c r="G27" s="15"/>
    </row>
    <row r="28" spans="1:7" x14ac:dyDescent="0.3">
      <c r="A28" s="5" t="s">
        <v>180</v>
      </c>
      <c r="B28" s="26" t="s">
        <v>479</v>
      </c>
      <c r="C28" s="14"/>
      <c r="D28" s="14"/>
      <c r="E28" s="14"/>
      <c r="F28" s="14"/>
      <c r="G28" s="15"/>
    </row>
  </sheetData>
  <mergeCells count="6">
    <mergeCell ref="B24:G24"/>
    <mergeCell ref="A1:G1"/>
    <mergeCell ref="B28:G28"/>
    <mergeCell ref="B27:G27"/>
    <mergeCell ref="B26:G26"/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59B6"/>
  </sheetPr>
  <dimension ref="A1:D61"/>
  <sheetViews>
    <sheetView topLeftCell="A42" workbookViewId="0">
      <selection activeCell="B62" sqref="B62"/>
    </sheetView>
  </sheetViews>
  <sheetFormatPr baseColWidth="10" defaultColWidth="8.88671875" defaultRowHeight="14.4" x14ac:dyDescent="0.3"/>
  <cols>
    <col min="1" max="1" width="30" customWidth="1"/>
    <col min="2" max="4" width="35" customWidth="1"/>
  </cols>
  <sheetData>
    <row r="1" spans="1:4" ht="17.399999999999999" x14ac:dyDescent="0.3">
      <c r="A1" s="21" t="s">
        <v>181</v>
      </c>
      <c r="B1" s="17"/>
      <c r="C1" s="17"/>
      <c r="D1" s="17"/>
    </row>
    <row r="3" spans="1:4" x14ac:dyDescent="0.3">
      <c r="A3" s="1" t="s">
        <v>182</v>
      </c>
      <c r="B3" s="1"/>
      <c r="C3" s="1"/>
      <c r="D3" s="1"/>
    </row>
    <row r="4" spans="1:4" x14ac:dyDescent="0.3">
      <c r="A4" s="5" t="s">
        <v>183</v>
      </c>
      <c r="B4" s="20" t="s">
        <v>184</v>
      </c>
      <c r="C4" s="14"/>
      <c r="D4" s="15"/>
    </row>
    <row r="5" spans="1:4" x14ac:dyDescent="0.3">
      <c r="A5" s="5" t="s">
        <v>185</v>
      </c>
      <c r="B5" s="20" t="s">
        <v>186</v>
      </c>
      <c r="C5" s="14"/>
      <c r="D5" s="15"/>
    </row>
    <row r="6" spans="1:4" x14ac:dyDescent="0.3">
      <c r="A6" s="5" t="s">
        <v>187</v>
      </c>
      <c r="B6" s="20" t="s">
        <v>188</v>
      </c>
      <c r="C6" s="14"/>
      <c r="D6" s="15"/>
    </row>
    <row r="7" spans="1:4" x14ac:dyDescent="0.3">
      <c r="A7" s="5" t="s">
        <v>189</v>
      </c>
      <c r="B7" s="20" t="s">
        <v>190</v>
      </c>
      <c r="C7" s="14"/>
      <c r="D7" s="15"/>
    </row>
    <row r="8" spans="1:4" x14ac:dyDescent="0.3">
      <c r="A8" s="5" t="s">
        <v>191</v>
      </c>
      <c r="B8" s="20" t="s">
        <v>192</v>
      </c>
      <c r="C8" s="14"/>
      <c r="D8" s="15"/>
    </row>
    <row r="9" spans="1:4" x14ac:dyDescent="0.3">
      <c r="A9" s="5" t="s">
        <v>193</v>
      </c>
      <c r="B9" s="20" t="s">
        <v>194</v>
      </c>
      <c r="C9" s="14"/>
      <c r="D9" s="15"/>
    </row>
    <row r="10" spans="1:4" x14ac:dyDescent="0.3">
      <c r="A10" s="5" t="s">
        <v>195</v>
      </c>
      <c r="B10" s="20" t="s">
        <v>196</v>
      </c>
      <c r="C10" s="14"/>
      <c r="D10" s="15"/>
    </row>
    <row r="11" spans="1:4" x14ac:dyDescent="0.3">
      <c r="A11" s="5" t="s">
        <v>197</v>
      </c>
      <c r="B11" s="20" t="s">
        <v>142</v>
      </c>
      <c r="C11" s="14"/>
      <c r="D11" s="15"/>
    </row>
    <row r="13" spans="1:4" x14ac:dyDescent="0.3">
      <c r="A13" s="1" t="s">
        <v>198</v>
      </c>
      <c r="B13" s="1"/>
      <c r="C13" s="1"/>
      <c r="D13" s="1"/>
    </row>
    <row r="14" spans="1:4" x14ac:dyDescent="0.3">
      <c r="A14" s="5" t="s">
        <v>199</v>
      </c>
      <c r="B14" s="20" t="s">
        <v>200</v>
      </c>
      <c r="C14" s="14"/>
      <c r="D14" s="15"/>
    </row>
    <row r="15" spans="1:4" x14ac:dyDescent="0.3">
      <c r="A15" s="5" t="s">
        <v>201</v>
      </c>
      <c r="B15" s="20" t="s">
        <v>202</v>
      </c>
      <c r="C15" s="14"/>
      <c r="D15" s="15"/>
    </row>
    <row r="16" spans="1:4" x14ac:dyDescent="0.3">
      <c r="A16" s="5" t="s">
        <v>203</v>
      </c>
      <c r="B16" s="20" t="s">
        <v>204</v>
      </c>
      <c r="C16" s="14"/>
      <c r="D16" s="15"/>
    </row>
    <row r="18" spans="1:4" x14ac:dyDescent="0.3">
      <c r="A18" s="1" t="s">
        <v>205</v>
      </c>
      <c r="B18" s="1"/>
      <c r="C18" s="1"/>
      <c r="D18" s="1"/>
    </row>
    <row r="19" spans="1:4" x14ac:dyDescent="0.3">
      <c r="A19" s="5" t="s">
        <v>206</v>
      </c>
      <c r="B19" s="3" t="s">
        <v>207</v>
      </c>
      <c r="C19" s="3" t="s">
        <v>208</v>
      </c>
      <c r="D19" s="3" t="s">
        <v>209</v>
      </c>
    </row>
    <row r="20" spans="1:4" x14ac:dyDescent="0.3">
      <c r="A20" s="5" t="s">
        <v>210</v>
      </c>
      <c r="B20" s="3" t="s">
        <v>211</v>
      </c>
      <c r="C20" s="3" t="s">
        <v>212</v>
      </c>
      <c r="D20" s="3" t="s">
        <v>209</v>
      </c>
    </row>
    <row r="21" spans="1:4" x14ac:dyDescent="0.3">
      <c r="A21" s="5" t="s">
        <v>213</v>
      </c>
      <c r="B21" s="3" t="s">
        <v>214</v>
      </c>
      <c r="C21" s="3" t="s">
        <v>215</v>
      </c>
      <c r="D21" s="3" t="s">
        <v>216</v>
      </c>
    </row>
    <row r="22" spans="1:4" x14ac:dyDescent="0.3">
      <c r="A22" s="5" t="s">
        <v>217</v>
      </c>
      <c r="B22" s="3" t="s">
        <v>218</v>
      </c>
      <c r="C22" s="3" t="s">
        <v>219</v>
      </c>
      <c r="D22" s="3" t="s">
        <v>220</v>
      </c>
    </row>
    <row r="23" spans="1:4" x14ac:dyDescent="0.3">
      <c r="A23" s="5" t="s">
        <v>221</v>
      </c>
      <c r="B23" s="3" t="s">
        <v>222</v>
      </c>
      <c r="C23" s="3" t="s">
        <v>223</v>
      </c>
      <c r="D23" s="3" t="s">
        <v>224</v>
      </c>
    </row>
    <row r="24" spans="1:4" x14ac:dyDescent="0.3">
      <c r="A24" s="5" t="s">
        <v>225</v>
      </c>
      <c r="B24" s="3" t="s">
        <v>226</v>
      </c>
    </row>
    <row r="26" spans="1:4" x14ac:dyDescent="0.3">
      <c r="A26" s="1" t="s">
        <v>227</v>
      </c>
      <c r="B26" s="1"/>
      <c r="C26" s="1"/>
      <c r="D26" s="1"/>
    </row>
    <row r="27" spans="1:4" x14ac:dyDescent="0.3">
      <c r="A27" s="5" t="s">
        <v>228</v>
      </c>
      <c r="B27" s="26" t="s">
        <v>480</v>
      </c>
      <c r="C27" s="14"/>
      <c r="D27" s="15"/>
    </row>
    <row r="28" spans="1:4" x14ac:dyDescent="0.3">
      <c r="A28" s="5" t="s">
        <v>229</v>
      </c>
      <c r="B28" s="26" t="s">
        <v>481</v>
      </c>
      <c r="C28" s="14"/>
      <c r="D28" s="15"/>
    </row>
    <row r="29" spans="1:4" x14ac:dyDescent="0.3">
      <c r="A29" s="5" t="s">
        <v>230</v>
      </c>
      <c r="B29" s="26" t="s">
        <v>482</v>
      </c>
      <c r="C29" s="14"/>
      <c r="D29" s="15"/>
    </row>
    <row r="30" spans="1:4" x14ac:dyDescent="0.3">
      <c r="A30" s="5" t="s">
        <v>231</v>
      </c>
      <c r="B30" s="26" t="s">
        <v>483</v>
      </c>
      <c r="C30" s="14"/>
      <c r="D30" s="15"/>
    </row>
    <row r="31" spans="1:4" x14ac:dyDescent="0.3">
      <c r="A31" s="5" t="s">
        <v>232</v>
      </c>
      <c r="B31" s="26" t="s">
        <v>484</v>
      </c>
      <c r="C31" s="14"/>
      <c r="D31" s="15"/>
    </row>
    <row r="33" spans="1:4" x14ac:dyDescent="0.3">
      <c r="A33" s="1" t="s">
        <v>233</v>
      </c>
      <c r="B33" s="1"/>
      <c r="C33" s="1"/>
      <c r="D33" s="1"/>
    </row>
    <row r="34" spans="1:4" x14ac:dyDescent="0.3">
      <c r="A34" s="5" t="s">
        <v>234</v>
      </c>
      <c r="B34" s="26" t="s">
        <v>485</v>
      </c>
      <c r="C34" s="14"/>
      <c r="D34" s="15"/>
    </row>
    <row r="35" spans="1:4" x14ac:dyDescent="0.3">
      <c r="A35" s="5" t="s">
        <v>235</v>
      </c>
      <c r="B35" s="26" t="s">
        <v>486</v>
      </c>
      <c r="C35" s="14"/>
      <c r="D35" s="15"/>
    </row>
    <row r="36" spans="1:4" x14ac:dyDescent="0.3">
      <c r="A36" s="5" t="s">
        <v>236</v>
      </c>
      <c r="B36" s="26" t="s">
        <v>487</v>
      </c>
      <c r="C36" s="14"/>
      <c r="D36" s="15"/>
    </row>
    <row r="37" spans="1:4" x14ac:dyDescent="0.3">
      <c r="A37" s="5" t="s">
        <v>237</v>
      </c>
      <c r="B37" s="26" t="s">
        <v>488</v>
      </c>
      <c r="C37" s="14"/>
      <c r="D37" s="15"/>
    </row>
    <row r="38" spans="1:4" x14ac:dyDescent="0.3">
      <c r="A38" s="5" t="s">
        <v>238</v>
      </c>
      <c r="B38" s="26" t="s">
        <v>489</v>
      </c>
      <c r="C38" s="14"/>
      <c r="D38" s="15"/>
    </row>
    <row r="39" spans="1:4" x14ac:dyDescent="0.3">
      <c r="A39" s="5" t="s">
        <v>239</v>
      </c>
      <c r="B39" s="26" t="s">
        <v>490</v>
      </c>
      <c r="C39" s="14"/>
      <c r="D39" s="15"/>
    </row>
    <row r="40" spans="1:4" x14ac:dyDescent="0.3">
      <c r="A40" s="5" t="s">
        <v>240</v>
      </c>
      <c r="B40" s="26" t="s">
        <v>491</v>
      </c>
      <c r="C40" s="14"/>
      <c r="D40" s="15"/>
    </row>
    <row r="42" spans="1:4" x14ac:dyDescent="0.3">
      <c r="A42" s="1" t="s">
        <v>241</v>
      </c>
      <c r="B42" s="1"/>
      <c r="C42" s="1"/>
      <c r="D42" s="1"/>
    </row>
    <row r="43" spans="1:4" x14ac:dyDescent="0.3">
      <c r="A43" s="5" t="s">
        <v>242</v>
      </c>
      <c r="B43" s="26" t="s">
        <v>492</v>
      </c>
      <c r="C43" s="14"/>
      <c r="D43" s="15"/>
    </row>
    <row r="44" spans="1:4" x14ac:dyDescent="0.3">
      <c r="A44" s="5" t="s">
        <v>243</v>
      </c>
      <c r="B44" s="26" t="s">
        <v>493</v>
      </c>
      <c r="C44" s="14"/>
      <c r="D44" s="15"/>
    </row>
    <row r="45" spans="1:4" x14ac:dyDescent="0.3">
      <c r="A45" s="5" t="s">
        <v>244</v>
      </c>
      <c r="B45" s="26" t="s">
        <v>494</v>
      </c>
      <c r="C45" s="14"/>
      <c r="D45" s="15"/>
    </row>
    <row r="47" spans="1:4" x14ac:dyDescent="0.3">
      <c r="A47" s="1" t="s">
        <v>245</v>
      </c>
      <c r="B47" s="1"/>
      <c r="C47" s="1"/>
      <c r="D47" s="1"/>
    </row>
    <row r="48" spans="1:4" x14ac:dyDescent="0.3">
      <c r="A48" s="5" t="s">
        <v>246</v>
      </c>
      <c r="B48" s="26" t="s">
        <v>495</v>
      </c>
      <c r="C48" s="14"/>
      <c r="D48" s="15"/>
    </row>
    <row r="49" spans="1:4" x14ac:dyDescent="0.3">
      <c r="A49" s="5" t="s">
        <v>247</v>
      </c>
      <c r="B49" s="26" t="s">
        <v>496</v>
      </c>
      <c r="C49" s="14"/>
      <c r="D49" s="15"/>
    </row>
    <row r="50" spans="1:4" x14ac:dyDescent="0.3">
      <c r="A50" s="5" t="s">
        <v>248</v>
      </c>
      <c r="B50" s="26" t="s">
        <v>497</v>
      </c>
      <c r="C50" s="14"/>
      <c r="D50" s="15"/>
    </row>
    <row r="51" spans="1:4" x14ac:dyDescent="0.3">
      <c r="A51" s="5" t="s">
        <v>249</v>
      </c>
      <c r="B51" s="26" t="s">
        <v>498</v>
      </c>
      <c r="C51" s="14"/>
      <c r="D51" s="15"/>
    </row>
    <row r="53" spans="1:4" x14ac:dyDescent="0.3">
      <c r="A53" s="1" t="s">
        <v>250</v>
      </c>
      <c r="B53" s="1"/>
      <c r="C53" s="1"/>
      <c r="D53" s="1"/>
    </row>
    <row r="54" spans="1:4" x14ac:dyDescent="0.3">
      <c r="A54" s="5" t="s">
        <v>251</v>
      </c>
      <c r="B54" s="26" t="s">
        <v>499</v>
      </c>
      <c r="C54" s="14"/>
      <c r="D54" s="15"/>
    </row>
    <row r="55" spans="1:4" x14ac:dyDescent="0.3">
      <c r="A55" s="5" t="s">
        <v>252</v>
      </c>
      <c r="B55" s="26" t="s">
        <v>500</v>
      </c>
      <c r="C55" s="14"/>
      <c r="D55" s="15"/>
    </row>
    <row r="56" spans="1:4" x14ac:dyDescent="0.3">
      <c r="A56" s="5" t="s">
        <v>253</v>
      </c>
      <c r="B56" s="26" t="s">
        <v>501</v>
      </c>
      <c r="C56" s="14"/>
      <c r="D56" s="15"/>
    </row>
    <row r="57" spans="1:4" x14ac:dyDescent="0.3">
      <c r="A57" s="5" t="s">
        <v>254</v>
      </c>
      <c r="B57" s="26" t="s">
        <v>502</v>
      </c>
      <c r="C57" s="14"/>
      <c r="D57" s="15"/>
    </row>
    <row r="59" spans="1:4" x14ac:dyDescent="0.3">
      <c r="A59" s="1" t="s">
        <v>255</v>
      </c>
      <c r="B59" s="1"/>
      <c r="C59" s="1"/>
      <c r="D59" s="1"/>
    </row>
    <row r="60" spans="1:4" x14ac:dyDescent="0.3">
      <c r="A60" s="5" t="s">
        <v>256</v>
      </c>
      <c r="B60" s="26" t="s">
        <v>503</v>
      </c>
      <c r="C60" s="14"/>
      <c r="D60" s="15"/>
    </row>
    <row r="61" spans="1:4" x14ac:dyDescent="0.3">
      <c r="A61" s="5" t="s">
        <v>257</v>
      </c>
      <c r="B61" s="26" t="s">
        <v>504</v>
      </c>
      <c r="C61" s="14"/>
      <c r="D61" s="15"/>
    </row>
  </sheetData>
  <mergeCells count="37">
    <mergeCell ref="B6:D6"/>
    <mergeCell ref="B51:D51"/>
    <mergeCell ref="A1:D1"/>
    <mergeCell ref="B5:D5"/>
    <mergeCell ref="B36:D36"/>
    <mergeCell ref="B45:D45"/>
    <mergeCell ref="B35:D35"/>
    <mergeCell ref="B4:D4"/>
    <mergeCell ref="B50:D50"/>
    <mergeCell ref="B7:D7"/>
    <mergeCell ref="B16:D16"/>
    <mergeCell ref="B31:D31"/>
    <mergeCell ref="B27:D27"/>
    <mergeCell ref="B43:D43"/>
    <mergeCell ref="B39:D39"/>
    <mergeCell ref="B48:D48"/>
    <mergeCell ref="B8:D8"/>
    <mergeCell ref="B44:D44"/>
    <mergeCell ref="B29:D29"/>
    <mergeCell ref="B38:D38"/>
    <mergeCell ref="B34:D34"/>
    <mergeCell ref="B10:D10"/>
    <mergeCell ref="B28:D28"/>
    <mergeCell ref="B37:D37"/>
    <mergeCell ref="B40:D40"/>
    <mergeCell ref="B9:D9"/>
    <mergeCell ref="B30:D30"/>
    <mergeCell ref="B15:D15"/>
    <mergeCell ref="B11:D11"/>
    <mergeCell ref="B14:D14"/>
    <mergeCell ref="B60:D60"/>
    <mergeCell ref="B61:D61"/>
    <mergeCell ref="B57:D57"/>
    <mergeCell ref="B49:D49"/>
    <mergeCell ref="B55:D55"/>
    <mergeCell ref="B54:D54"/>
    <mergeCell ref="B56:D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H47"/>
  <sheetViews>
    <sheetView topLeftCell="A39" workbookViewId="0">
      <selection activeCell="B48" sqref="B48"/>
    </sheetView>
  </sheetViews>
  <sheetFormatPr baseColWidth="10" defaultColWidth="8.88671875" defaultRowHeight="14.4" x14ac:dyDescent="0.3"/>
  <cols>
    <col min="1" max="2" width="22" customWidth="1"/>
    <col min="3" max="4" width="30" customWidth="1"/>
    <col min="5" max="5" width="22" customWidth="1"/>
    <col min="6" max="6" width="30" customWidth="1"/>
    <col min="7" max="8" width="22" customWidth="1"/>
  </cols>
  <sheetData>
    <row r="1" spans="1:8" ht="17.399999999999999" x14ac:dyDescent="0.3">
      <c r="A1" s="22" t="s">
        <v>258</v>
      </c>
      <c r="B1" s="17"/>
      <c r="C1" s="17"/>
      <c r="D1" s="17"/>
      <c r="E1" s="17"/>
      <c r="F1" s="17"/>
      <c r="G1" s="17"/>
      <c r="H1" s="17"/>
    </row>
    <row r="3" spans="1:8" x14ac:dyDescent="0.3">
      <c r="A3" s="1" t="s">
        <v>259</v>
      </c>
      <c r="B3" s="1"/>
      <c r="C3" s="1"/>
      <c r="D3" s="1"/>
      <c r="E3" s="1"/>
      <c r="F3" s="1"/>
      <c r="G3" s="1"/>
      <c r="H3" s="1"/>
    </row>
    <row r="4" spans="1:8" ht="15.6" x14ac:dyDescent="0.3">
      <c r="A4" s="12" t="s">
        <v>260</v>
      </c>
      <c r="B4" s="12" t="s">
        <v>261</v>
      </c>
      <c r="C4" s="12" t="s">
        <v>262</v>
      </c>
      <c r="D4" s="12" t="s">
        <v>263</v>
      </c>
      <c r="E4" s="12" t="s">
        <v>264</v>
      </c>
      <c r="F4" s="12" t="s">
        <v>265</v>
      </c>
      <c r="G4" s="12" t="s">
        <v>266</v>
      </c>
      <c r="H4" s="12" t="s">
        <v>267</v>
      </c>
    </row>
    <row r="5" spans="1:8" ht="26.4" x14ac:dyDescent="0.3">
      <c r="A5" s="3" t="s">
        <v>268</v>
      </c>
      <c r="B5" s="3" t="s">
        <v>269</v>
      </c>
      <c r="C5" s="3" t="s">
        <v>270</v>
      </c>
      <c r="D5" s="3" t="s">
        <v>271</v>
      </c>
      <c r="E5" s="3" t="s">
        <v>272</v>
      </c>
      <c r="F5" s="3" t="s">
        <v>273</v>
      </c>
      <c r="G5" s="3" t="s">
        <v>274</v>
      </c>
      <c r="H5" s="3" t="s">
        <v>275</v>
      </c>
    </row>
    <row r="6" spans="1:8" ht="26.4" x14ac:dyDescent="0.3">
      <c r="A6" s="3" t="s">
        <v>276</v>
      </c>
      <c r="B6" s="3" t="s">
        <v>269</v>
      </c>
      <c r="C6" s="3" t="s">
        <v>277</v>
      </c>
      <c r="D6" s="3" t="s">
        <v>278</v>
      </c>
      <c r="E6" s="3" t="s">
        <v>279</v>
      </c>
      <c r="F6" s="3" t="s">
        <v>280</v>
      </c>
      <c r="G6" s="3" t="s">
        <v>281</v>
      </c>
      <c r="H6" s="3" t="s">
        <v>275</v>
      </c>
    </row>
    <row r="7" spans="1:8" ht="26.4" x14ac:dyDescent="0.3">
      <c r="A7" s="3" t="s">
        <v>282</v>
      </c>
      <c r="B7" s="3" t="s">
        <v>269</v>
      </c>
      <c r="C7" s="3" t="s">
        <v>283</v>
      </c>
      <c r="D7" s="3" t="s">
        <v>284</v>
      </c>
      <c r="E7" s="3" t="s">
        <v>285</v>
      </c>
      <c r="F7" s="3" t="s">
        <v>286</v>
      </c>
      <c r="G7" s="3" t="s">
        <v>287</v>
      </c>
      <c r="H7" s="3" t="s">
        <v>288</v>
      </c>
    </row>
    <row r="8" spans="1:8" ht="26.4" x14ac:dyDescent="0.3">
      <c r="A8" s="3" t="s">
        <v>289</v>
      </c>
      <c r="B8" s="3" t="s">
        <v>269</v>
      </c>
      <c r="C8" s="3" t="s">
        <v>290</v>
      </c>
      <c r="D8" s="3" t="s">
        <v>291</v>
      </c>
      <c r="E8" s="3" t="s">
        <v>292</v>
      </c>
      <c r="F8" s="3" t="s">
        <v>293</v>
      </c>
      <c r="G8" s="3" t="s">
        <v>294</v>
      </c>
      <c r="H8" s="3" t="s">
        <v>275</v>
      </c>
    </row>
    <row r="9" spans="1:8" ht="26.4" x14ac:dyDescent="0.3">
      <c r="A9" s="3" t="s">
        <v>295</v>
      </c>
      <c r="B9" s="3" t="s">
        <v>269</v>
      </c>
      <c r="C9" s="3" t="s">
        <v>296</v>
      </c>
      <c r="D9" s="3" t="s">
        <v>297</v>
      </c>
      <c r="E9" s="3" t="s">
        <v>285</v>
      </c>
      <c r="F9" s="3" t="s">
        <v>298</v>
      </c>
      <c r="G9" s="3" t="s">
        <v>299</v>
      </c>
      <c r="H9" s="3" t="s">
        <v>275</v>
      </c>
    </row>
    <row r="10" spans="1:8" ht="26.4" x14ac:dyDescent="0.3">
      <c r="A10" s="3" t="s">
        <v>300</v>
      </c>
      <c r="B10" s="3" t="s">
        <v>301</v>
      </c>
      <c r="C10" s="3" t="s">
        <v>302</v>
      </c>
      <c r="D10" s="3" t="s">
        <v>303</v>
      </c>
      <c r="E10" s="3" t="s">
        <v>285</v>
      </c>
      <c r="F10" s="3" t="s">
        <v>304</v>
      </c>
      <c r="G10" s="3" t="s">
        <v>305</v>
      </c>
      <c r="H10" s="3" t="s">
        <v>306</v>
      </c>
    </row>
    <row r="11" spans="1:8" x14ac:dyDescent="0.3">
      <c r="A11" s="3" t="s">
        <v>307</v>
      </c>
      <c r="B11" s="3" t="s">
        <v>301</v>
      </c>
      <c r="C11" s="3" t="s">
        <v>308</v>
      </c>
      <c r="D11" s="3" t="s">
        <v>309</v>
      </c>
      <c r="E11" s="3" t="s">
        <v>285</v>
      </c>
      <c r="F11" s="3" t="s">
        <v>310</v>
      </c>
      <c r="G11" s="3" t="s">
        <v>311</v>
      </c>
      <c r="H11" s="3" t="s">
        <v>306</v>
      </c>
    </row>
    <row r="12" spans="1:8" ht="26.4" x14ac:dyDescent="0.3">
      <c r="A12" s="3" t="s">
        <v>312</v>
      </c>
      <c r="B12" s="3" t="s">
        <v>301</v>
      </c>
      <c r="C12" s="3" t="s">
        <v>313</v>
      </c>
      <c r="D12" s="3" t="s">
        <v>314</v>
      </c>
      <c r="E12" s="3" t="s">
        <v>315</v>
      </c>
      <c r="F12" s="3" t="s">
        <v>316</v>
      </c>
      <c r="G12" s="3" t="s">
        <v>317</v>
      </c>
      <c r="H12" s="3" t="s">
        <v>306</v>
      </c>
    </row>
    <row r="13" spans="1:8" ht="26.4" x14ac:dyDescent="0.3">
      <c r="A13" s="3" t="s">
        <v>318</v>
      </c>
      <c r="B13" s="3" t="s">
        <v>301</v>
      </c>
      <c r="C13" s="3" t="s">
        <v>319</v>
      </c>
      <c r="D13" s="3" t="s">
        <v>320</v>
      </c>
      <c r="E13" s="3" t="s">
        <v>315</v>
      </c>
      <c r="F13" s="3" t="s">
        <v>321</v>
      </c>
      <c r="G13" s="3" t="s">
        <v>322</v>
      </c>
      <c r="H13" s="3" t="s">
        <v>94</v>
      </c>
    </row>
    <row r="14" spans="1:8" ht="26.4" x14ac:dyDescent="0.3">
      <c r="A14" s="3" t="s">
        <v>323</v>
      </c>
      <c r="B14" s="3" t="s">
        <v>106</v>
      </c>
      <c r="C14" s="3" t="s">
        <v>324</v>
      </c>
      <c r="D14" s="3" t="s">
        <v>325</v>
      </c>
      <c r="E14" s="3" t="s">
        <v>326</v>
      </c>
      <c r="F14" s="3" t="s">
        <v>327</v>
      </c>
      <c r="G14" s="3" t="s">
        <v>328</v>
      </c>
      <c r="H14" s="3" t="s">
        <v>89</v>
      </c>
    </row>
    <row r="15" spans="1:8" x14ac:dyDescent="0.3">
      <c r="A15" s="3" t="s">
        <v>329</v>
      </c>
      <c r="B15" s="3" t="s">
        <v>106</v>
      </c>
      <c r="C15" s="3" t="s">
        <v>330</v>
      </c>
      <c r="D15" s="3" t="s">
        <v>331</v>
      </c>
      <c r="E15" s="3" t="s">
        <v>326</v>
      </c>
      <c r="F15" s="3" t="s">
        <v>332</v>
      </c>
      <c r="G15" s="3" t="s">
        <v>333</v>
      </c>
      <c r="H15" s="3" t="s">
        <v>89</v>
      </c>
    </row>
    <row r="16" spans="1:8" x14ac:dyDescent="0.3">
      <c r="A16" s="3" t="s">
        <v>334</v>
      </c>
      <c r="B16" s="3" t="s">
        <v>106</v>
      </c>
      <c r="C16" s="3" t="s">
        <v>335</v>
      </c>
      <c r="D16" s="3" t="s">
        <v>336</v>
      </c>
      <c r="E16" s="3" t="s">
        <v>326</v>
      </c>
      <c r="F16" s="3" t="s">
        <v>337</v>
      </c>
      <c r="G16" s="3" t="s">
        <v>338</v>
      </c>
      <c r="H16" s="3" t="s">
        <v>89</v>
      </c>
    </row>
    <row r="17" spans="1:8" ht="26.4" x14ac:dyDescent="0.3">
      <c r="A17" s="3" t="s">
        <v>339</v>
      </c>
      <c r="B17" s="3" t="s">
        <v>106</v>
      </c>
      <c r="C17" s="3" t="s">
        <v>340</v>
      </c>
      <c r="D17" s="3" t="s">
        <v>341</v>
      </c>
      <c r="E17" s="3" t="s">
        <v>326</v>
      </c>
      <c r="F17" s="3" t="s">
        <v>342</v>
      </c>
      <c r="G17" s="3" t="s">
        <v>343</v>
      </c>
      <c r="H17" s="3" t="s">
        <v>89</v>
      </c>
    </row>
    <row r="18" spans="1:8" x14ac:dyDescent="0.3">
      <c r="A18" s="3" t="s">
        <v>344</v>
      </c>
      <c r="B18" s="3" t="s">
        <v>345</v>
      </c>
      <c r="C18" s="3" t="s">
        <v>346</v>
      </c>
      <c r="D18" s="3" t="s">
        <v>347</v>
      </c>
      <c r="E18" s="3" t="s">
        <v>348</v>
      </c>
      <c r="F18" s="3" t="s">
        <v>349</v>
      </c>
      <c r="G18" s="3" t="s">
        <v>287</v>
      </c>
      <c r="H18" s="3" t="s">
        <v>275</v>
      </c>
    </row>
    <row r="19" spans="1:8" ht="26.4" x14ac:dyDescent="0.3">
      <c r="A19" s="3" t="s">
        <v>350</v>
      </c>
      <c r="B19" s="3" t="s">
        <v>345</v>
      </c>
      <c r="C19" s="3" t="s">
        <v>351</v>
      </c>
      <c r="D19" s="3" t="s">
        <v>352</v>
      </c>
      <c r="E19" s="3" t="s">
        <v>353</v>
      </c>
      <c r="F19" s="3" t="s">
        <v>354</v>
      </c>
      <c r="G19" s="3" t="s">
        <v>355</v>
      </c>
      <c r="H19" s="3" t="s">
        <v>104</v>
      </c>
    </row>
    <row r="20" spans="1:8" ht="39.6" x14ac:dyDescent="0.3">
      <c r="A20" s="3" t="s">
        <v>356</v>
      </c>
      <c r="B20" s="3" t="s">
        <v>345</v>
      </c>
      <c r="C20" s="3" t="s">
        <v>357</v>
      </c>
      <c r="D20" s="3" t="s">
        <v>358</v>
      </c>
      <c r="E20" s="3" t="s">
        <v>285</v>
      </c>
      <c r="F20" s="3" t="s">
        <v>359</v>
      </c>
      <c r="G20" s="3" t="s">
        <v>360</v>
      </c>
      <c r="H20" s="3" t="s">
        <v>275</v>
      </c>
    </row>
    <row r="22" spans="1:8" x14ac:dyDescent="0.3">
      <c r="A22" s="1" t="s">
        <v>361</v>
      </c>
      <c r="B22" s="1"/>
      <c r="C22" s="1"/>
      <c r="D22" s="1"/>
      <c r="E22" s="1"/>
      <c r="F22" s="1"/>
      <c r="G22" s="1"/>
      <c r="H22" s="1"/>
    </row>
    <row r="23" spans="1:8" ht="15.6" x14ac:dyDescent="0.3">
      <c r="A23" s="12" t="s">
        <v>362</v>
      </c>
      <c r="B23" s="12" t="s">
        <v>363</v>
      </c>
      <c r="C23" s="12" t="s">
        <v>22</v>
      </c>
      <c r="D23" s="12" t="s">
        <v>364</v>
      </c>
      <c r="E23" s="12" t="s">
        <v>365</v>
      </c>
      <c r="F23" s="12" t="s">
        <v>366</v>
      </c>
    </row>
    <row r="24" spans="1:8" ht="39.6" x14ac:dyDescent="0.3">
      <c r="A24" s="4" t="s">
        <v>367</v>
      </c>
      <c r="B24" s="25" t="s">
        <v>505</v>
      </c>
      <c r="C24" s="25" t="s">
        <v>506</v>
      </c>
      <c r="D24" s="25" t="s">
        <v>507</v>
      </c>
      <c r="E24" s="25" t="s">
        <v>508</v>
      </c>
      <c r="F24" s="25" t="s">
        <v>509</v>
      </c>
    </row>
    <row r="25" spans="1:8" ht="39.6" x14ac:dyDescent="0.3">
      <c r="A25" s="4" t="s">
        <v>368</v>
      </c>
      <c r="B25" s="25" t="s">
        <v>510</v>
      </c>
      <c r="C25" s="25" t="s">
        <v>511</v>
      </c>
      <c r="D25" s="25" t="s">
        <v>512</v>
      </c>
      <c r="E25" s="25" t="s">
        <v>513</v>
      </c>
      <c r="F25" s="25" t="s">
        <v>514</v>
      </c>
    </row>
    <row r="26" spans="1:8" ht="39.6" x14ac:dyDescent="0.3">
      <c r="A26" s="4" t="s">
        <v>369</v>
      </c>
      <c r="B26" s="25" t="s">
        <v>515</v>
      </c>
      <c r="C26" s="25" t="s">
        <v>516</v>
      </c>
      <c r="D26" s="25" t="s">
        <v>517</v>
      </c>
      <c r="E26" s="25" t="s">
        <v>508</v>
      </c>
      <c r="F26" s="25" t="s">
        <v>518</v>
      </c>
    </row>
    <row r="27" spans="1:8" ht="39.6" x14ac:dyDescent="0.3">
      <c r="A27" s="4" t="s">
        <v>370</v>
      </c>
      <c r="B27" s="25" t="s">
        <v>519</v>
      </c>
      <c r="C27" s="25" t="s">
        <v>520</v>
      </c>
      <c r="D27" s="25" t="s">
        <v>521</v>
      </c>
      <c r="E27" s="25" t="s">
        <v>513</v>
      </c>
      <c r="F27" s="25" t="s">
        <v>522</v>
      </c>
    </row>
    <row r="28" spans="1:8" ht="26.4" x14ac:dyDescent="0.3">
      <c r="A28" s="4" t="s">
        <v>371</v>
      </c>
      <c r="B28" s="25" t="s">
        <v>523</v>
      </c>
      <c r="C28" s="25" t="s">
        <v>524</v>
      </c>
      <c r="D28" s="25" t="s">
        <v>525</v>
      </c>
      <c r="E28" s="25" t="s">
        <v>526</v>
      </c>
      <c r="F28" s="25" t="s">
        <v>527</v>
      </c>
    </row>
    <row r="29" spans="1:8" ht="39.6" x14ac:dyDescent="0.3">
      <c r="A29" s="4" t="s">
        <v>372</v>
      </c>
      <c r="B29" s="25" t="s">
        <v>528</v>
      </c>
      <c r="C29" s="25" t="s">
        <v>529</v>
      </c>
      <c r="D29" s="25" t="s">
        <v>530</v>
      </c>
      <c r="E29" s="25" t="s">
        <v>508</v>
      </c>
      <c r="F29" s="25" t="s">
        <v>531</v>
      </c>
    </row>
    <row r="30" spans="1:8" ht="39.6" x14ac:dyDescent="0.3">
      <c r="A30" s="4" t="s">
        <v>373</v>
      </c>
      <c r="B30" s="25" t="s">
        <v>532</v>
      </c>
      <c r="C30" s="25" t="s">
        <v>533</v>
      </c>
      <c r="D30" s="25" t="s">
        <v>534</v>
      </c>
      <c r="E30" s="25" t="s">
        <v>526</v>
      </c>
      <c r="F30" s="25" t="s">
        <v>535</v>
      </c>
    </row>
    <row r="31" spans="1:8" ht="26.4" x14ac:dyDescent="0.3">
      <c r="A31" s="4" t="s">
        <v>374</v>
      </c>
      <c r="B31" s="25" t="s">
        <v>536</v>
      </c>
      <c r="C31" s="25" t="s">
        <v>537</v>
      </c>
      <c r="D31" s="25" t="s">
        <v>538</v>
      </c>
      <c r="E31" s="25" t="s">
        <v>513</v>
      </c>
      <c r="F31" s="25" t="s">
        <v>539</v>
      </c>
    </row>
    <row r="32" spans="1:8" ht="39.6" x14ac:dyDescent="0.3">
      <c r="A32" s="4" t="s">
        <v>375</v>
      </c>
      <c r="B32" s="25" t="s">
        <v>540</v>
      </c>
      <c r="C32" s="25" t="s">
        <v>541</v>
      </c>
      <c r="D32" s="25" t="s">
        <v>542</v>
      </c>
      <c r="E32" s="25" t="s">
        <v>508</v>
      </c>
      <c r="F32" s="25" t="s">
        <v>543</v>
      </c>
    </row>
    <row r="33" spans="1:8" ht="39.6" x14ac:dyDescent="0.3">
      <c r="A33" s="4" t="s">
        <v>376</v>
      </c>
      <c r="B33" s="25" t="s">
        <v>544</v>
      </c>
      <c r="C33" s="25" t="s">
        <v>545</v>
      </c>
      <c r="D33" s="25" t="s">
        <v>546</v>
      </c>
      <c r="E33" s="25" t="s">
        <v>526</v>
      </c>
      <c r="F33" s="25" t="s">
        <v>547</v>
      </c>
    </row>
    <row r="35" spans="1:8" x14ac:dyDescent="0.3">
      <c r="A35" s="1" t="s">
        <v>377</v>
      </c>
      <c r="B35" s="1"/>
      <c r="C35" s="1"/>
      <c r="D35" s="1"/>
      <c r="E35" s="1"/>
      <c r="F35" s="1"/>
      <c r="G35" s="1"/>
      <c r="H35" s="1"/>
    </row>
    <row r="36" spans="1:8" ht="31.2" x14ac:dyDescent="0.3">
      <c r="A36" s="12" t="s">
        <v>378</v>
      </c>
      <c r="B36" s="12" t="s">
        <v>379</v>
      </c>
      <c r="C36" s="12" t="s">
        <v>380</v>
      </c>
      <c r="D36" s="12" t="s">
        <v>381</v>
      </c>
      <c r="E36" s="12" t="s">
        <v>382</v>
      </c>
      <c r="F36" s="12" t="s">
        <v>383</v>
      </c>
      <c r="G36" s="12" t="s">
        <v>384</v>
      </c>
    </row>
    <row r="37" spans="1:8" ht="52.8" x14ac:dyDescent="0.3">
      <c r="A37" s="25" t="s">
        <v>513</v>
      </c>
      <c r="B37" s="25" t="s">
        <v>441</v>
      </c>
      <c r="C37" s="25" t="s">
        <v>548</v>
      </c>
      <c r="D37" s="25" t="s">
        <v>549</v>
      </c>
      <c r="E37" s="4">
        <v>0.5</v>
      </c>
      <c r="F37" s="25" t="s">
        <v>550</v>
      </c>
      <c r="G37" s="25" t="s">
        <v>94</v>
      </c>
    </row>
    <row r="38" spans="1:8" ht="39.6" x14ac:dyDescent="0.3">
      <c r="A38" s="25" t="s">
        <v>551</v>
      </c>
      <c r="B38" s="25" t="s">
        <v>434</v>
      </c>
      <c r="C38" s="25" t="s">
        <v>552</v>
      </c>
      <c r="D38" s="25" t="s">
        <v>553</v>
      </c>
      <c r="E38" s="4">
        <v>2</v>
      </c>
      <c r="F38" s="25" t="s">
        <v>554</v>
      </c>
      <c r="G38" s="25" t="s">
        <v>89</v>
      </c>
    </row>
    <row r="39" spans="1:8" ht="39.6" x14ac:dyDescent="0.3">
      <c r="A39" s="25" t="s">
        <v>555</v>
      </c>
      <c r="B39" s="25" t="s">
        <v>437</v>
      </c>
      <c r="C39" s="25" t="s">
        <v>556</v>
      </c>
      <c r="D39" s="25" t="s">
        <v>557</v>
      </c>
      <c r="E39" s="4">
        <v>24</v>
      </c>
      <c r="F39" s="25" t="s">
        <v>558</v>
      </c>
      <c r="G39" s="25" t="s">
        <v>306</v>
      </c>
    </row>
    <row r="40" spans="1:8" ht="26.4" x14ac:dyDescent="0.3">
      <c r="A40" s="25" t="s">
        <v>559</v>
      </c>
      <c r="B40" s="25" t="s">
        <v>446</v>
      </c>
      <c r="C40" s="25" t="s">
        <v>560</v>
      </c>
      <c r="D40" s="25" t="s">
        <v>561</v>
      </c>
      <c r="E40" s="4">
        <v>168</v>
      </c>
      <c r="F40" s="25" t="s">
        <v>562</v>
      </c>
      <c r="G40" s="25" t="s">
        <v>563</v>
      </c>
    </row>
    <row r="42" spans="1:8" x14ac:dyDescent="0.3">
      <c r="A42" s="1" t="s">
        <v>385</v>
      </c>
      <c r="B42" s="1"/>
      <c r="C42" s="1"/>
      <c r="D42" s="1"/>
      <c r="E42" s="1"/>
      <c r="F42" s="1"/>
      <c r="G42" s="1"/>
      <c r="H42" s="1"/>
    </row>
    <row r="43" spans="1:8" ht="26.4" x14ac:dyDescent="0.3">
      <c r="A43" s="5" t="s">
        <v>386</v>
      </c>
      <c r="B43" s="26" t="s">
        <v>564</v>
      </c>
      <c r="C43" s="14"/>
      <c r="D43" s="14"/>
      <c r="E43" s="14"/>
      <c r="F43" s="14"/>
      <c r="G43" s="14"/>
      <c r="H43" s="15"/>
    </row>
    <row r="44" spans="1:8" ht="26.4" x14ac:dyDescent="0.3">
      <c r="A44" s="5" t="s">
        <v>387</v>
      </c>
      <c r="B44" s="26" t="s">
        <v>565</v>
      </c>
      <c r="C44" s="14"/>
      <c r="D44" s="14"/>
      <c r="E44" s="14"/>
      <c r="F44" s="14"/>
      <c r="G44" s="14"/>
      <c r="H44" s="15"/>
    </row>
    <row r="45" spans="1:8" ht="26.4" x14ac:dyDescent="0.3">
      <c r="A45" s="5" t="s">
        <v>388</v>
      </c>
      <c r="B45" s="26" t="s">
        <v>566</v>
      </c>
      <c r="C45" s="14"/>
      <c r="D45" s="14"/>
      <c r="E45" s="14"/>
      <c r="F45" s="14"/>
      <c r="G45" s="14"/>
      <c r="H45" s="15"/>
    </row>
    <row r="46" spans="1:8" ht="26.4" x14ac:dyDescent="0.3">
      <c r="A46" s="5" t="s">
        <v>389</v>
      </c>
      <c r="B46" s="26" t="s">
        <v>567</v>
      </c>
      <c r="C46" s="14"/>
      <c r="D46" s="14"/>
      <c r="E46" s="14"/>
      <c r="F46" s="14"/>
      <c r="G46" s="14"/>
      <c r="H46" s="15"/>
    </row>
    <row r="47" spans="1:8" ht="26.4" x14ac:dyDescent="0.3">
      <c r="A47" s="5" t="s">
        <v>390</v>
      </c>
      <c r="B47" s="26" t="s">
        <v>568</v>
      </c>
      <c r="C47" s="14"/>
      <c r="D47" s="14"/>
      <c r="E47" s="14"/>
      <c r="F47" s="14"/>
      <c r="G47" s="14"/>
      <c r="H47" s="15"/>
    </row>
  </sheetData>
  <mergeCells count="6">
    <mergeCell ref="B44:H44"/>
    <mergeCell ref="B43:H43"/>
    <mergeCell ref="B47:H47"/>
    <mergeCell ref="A1:H1"/>
    <mergeCell ref="B45:H45"/>
    <mergeCell ref="B46:H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D38"/>
  <sheetViews>
    <sheetView tabSelected="1" topLeftCell="A21" workbookViewId="0">
      <selection activeCell="B39" sqref="B39"/>
    </sheetView>
  </sheetViews>
  <sheetFormatPr baseColWidth="10" defaultColWidth="8.88671875" defaultRowHeight="14.4" x14ac:dyDescent="0.3"/>
  <cols>
    <col min="1" max="1" width="30" customWidth="1"/>
    <col min="2" max="4" width="35" customWidth="1"/>
  </cols>
  <sheetData>
    <row r="1" spans="1:4" ht="17.399999999999999" x14ac:dyDescent="0.3">
      <c r="A1" s="23" t="s">
        <v>391</v>
      </c>
      <c r="B1" s="17"/>
      <c r="C1" s="17"/>
      <c r="D1" s="17"/>
    </row>
    <row r="2" spans="1:4" x14ac:dyDescent="0.3">
      <c r="A2" s="24" t="s">
        <v>392</v>
      </c>
      <c r="B2" s="17"/>
      <c r="C2" s="17"/>
      <c r="D2" s="17"/>
    </row>
    <row r="4" spans="1:4" x14ac:dyDescent="0.3">
      <c r="A4" s="1" t="s">
        <v>393</v>
      </c>
      <c r="B4" s="1"/>
      <c r="C4" s="1"/>
      <c r="D4" s="1"/>
    </row>
    <row r="5" spans="1:4" x14ac:dyDescent="0.3">
      <c r="A5" s="5" t="s">
        <v>394</v>
      </c>
      <c r="B5" s="26" t="s">
        <v>569</v>
      </c>
      <c r="C5" s="14"/>
      <c r="D5" s="15"/>
    </row>
    <row r="6" spans="1:4" x14ac:dyDescent="0.3">
      <c r="A6" s="5" t="s">
        <v>395</v>
      </c>
      <c r="B6" s="26" t="s">
        <v>570</v>
      </c>
      <c r="C6" s="14"/>
      <c r="D6" s="15"/>
    </row>
    <row r="7" spans="1:4" x14ac:dyDescent="0.3">
      <c r="A7" s="5" t="s">
        <v>396</v>
      </c>
      <c r="B7" s="26" t="s">
        <v>571</v>
      </c>
      <c r="C7" s="14"/>
      <c r="D7" s="15"/>
    </row>
    <row r="9" spans="1:4" x14ac:dyDescent="0.3">
      <c r="A9" s="1" t="s">
        <v>397</v>
      </c>
      <c r="B9" s="1"/>
      <c r="C9" s="1"/>
      <c r="D9" s="1"/>
    </row>
    <row r="10" spans="1:4" x14ac:dyDescent="0.3">
      <c r="A10" s="5" t="s">
        <v>398</v>
      </c>
      <c r="B10" s="26" t="s">
        <v>572</v>
      </c>
      <c r="C10" s="14"/>
      <c r="D10" s="15"/>
    </row>
    <row r="11" spans="1:4" x14ac:dyDescent="0.3">
      <c r="A11" s="5" t="s">
        <v>399</v>
      </c>
      <c r="B11" s="26" t="s">
        <v>573</v>
      </c>
      <c r="C11" s="14"/>
      <c r="D11" s="15"/>
    </row>
    <row r="12" spans="1:4" x14ac:dyDescent="0.3">
      <c r="A12" s="5" t="s">
        <v>400</v>
      </c>
      <c r="B12" s="26" t="s">
        <v>574</v>
      </c>
      <c r="C12" s="14"/>
      <c r="D12" s="15"/>
    </row>
    <row r="14" spans="1:4" x14ac:dyDescent="0.3">
      <c r="A14" s="1" t="s">
        <v>401</v>
      </c>
      <c r="B14" s="1"/>
      <c r="C14" s="1"/>
      <c r="D14" s="1"/>
    </row>
    <row r="15" spans="1:4" x14ac:dyDescent="0.3">
      <c r="A15" s="5" t="s">
        <v>402</v>
      </c>
      <c r="B15" s="26" t="s">
        <v>575</v>
      </c>
      <c r="C15" s="14"/>
      <c r="D15" s="15"/>
    </row>
    <row r="16" spans="1:4" x14ac:dyDescent="0.3">
      <c r="A16" s="5" t="s">
        <v>403</v>
      </c>
      <c r="B16" s="26" t="s">
        <v>576</v>
      </c>
      <c r="C16" s="14"/>
      <c r="D16" s="15"/>
    </row>
    <row r="17" spans="1:4" x14ac:dyDescent="0.3">
      <c r="A17" s="5" t="s">
        <v>404</v>
      </c>
      <c r="B17" s="26" t="s">
        <v>577</v>
      </c>
      <c r="C17" s="14"/>
      <c r="D17" s="15"/>
    </row>
    <row r="19" spans="1:4" x14ac:dyDescent="0.3">
      <c r="A19" s="1" t="s">
        <v>405</v>
      </c>
      <c r="B19" s="1"/>
      <c r="C19" s="1"/>
      <c r="D19" s="1"/>
    </row>
    <row r="20" spans="1:4" x14ac:dyDescent="0.3">
      <c r="A20" s="5" t="s">
        <v>406</v>
      </c>
      <c r="B20" s="26" t="s">
        <v>578</v>
      </c>
      <c r="C20" s="14"/>
      <c r="D20" s="15"/>
    </row>
    <row r="21" spans="1:4" x14ac:dyDescent="0.3">
      <c r="A21" s="5" t="s">
        <v>407</v>
      </c>
      <c r="B21" s="26" t="s">
        <v>579</v>
      </c>
      <c r="C21" s="14"/>
      <c r="D21" s="15"/>
    </row>
    <row r="22" spans="1:4" x14ac:dyDescent="0.3">
      <c r="A22" s="5" t="s">
        <v>408</v>
      </c>
      <c r="B22" s="26" t="s">
        <v>580</v>
      </c>
      <c r="C22" s="14"/>
      <c r="D22" s="15"/>
    </row>
    <row r="24" spans="1:4" x14ac:dyDescent="0.3">
      <c r="A24" s="1" t="s">
        <v>409</v>
      </c>
      <c r="B24" s="1"/>
      <c r="C24" s="1"/>
      <c r="D24" s="1"/>
    </row>
    <row r="25" spans="1:4" x14ac:dyDescent="0.3">
      <c r="A25" s="5" t="s">
        <v>410</v>
      </c>
      <c r="B25" s="26" t="s">
        <v>581</v>
      </c>
      <c r="C25" s="14"/>
      <c r="D25" s="15"/>
    </row>
    <row r="26" spans="1:4" x14ac:dyDescent="0.3">
      <c r="A26" s="5" t="s">
        <v>176</v>
      </c>
      <c r="B26" s="26" t="s">
        <v>582</v>
      </c>
      <c r="C26" s="14"/>
      <c r="D26" s="15"/>
    </row>
    <row r="27" spans="1:4" x14ac:dyDescent="0.3">
      <c r="A27" s="5" t="s">
        <v>411</v>
      </c>
      <c r="B27" s="26" t="s">
        <v>583</v>
      </c>
      <c r="C27" s="14"/>
      <c r="D27" s="15"/>
    </row>
    <row r="29" spans="1:4" x14ac:dyDescent="0.3">
      <c r="A29" s="1" t="s">
        <v>412</v>
      </c>
      <c r="B29" s="1"/>
      <c r="C29" s="1"/>
      <c r="D29" s="1"/>
    </row>
    <row r="30" spans="1:4" x14ac:dyDescent="0.3">
      <c r="A30" s="5" t="s">
        <v>413</v>
      </c>
      <c r="B30" s="26" t="s">
        <v>584</v>
      </c>
      <c r="C30" s="14"/>
      <c r="D30" s="15"/>
    </row>
    <row r="31" spans="1:4" x14ac:dyDescent="0.3">
      <c r="A31" s="5" t="s">
        <v>414</v>
      </c>
      <c r="B31" s="26" t="s">
        <v>585</v>
      </c>
      <c r="C31" s="14"/>
      <c r="D31" s="15"/>
    </row>
    <row r="32" spans="1:4" x14ac:dyDescent="0.3">
      <c r="A32" s="5" t="s">
        <v>415</v>
      </c>
      <c r="B32" s="26" t="s">
        <v>586</v>
      </c>
      <c r="C32" s="14"/>
      <c r="D32" s="15"/>
    </row>
    <row r="34" spans="1:4" x14ac:dyDescent="0.3">
      <c r="A34" s="1" t="s">
        <v>416</v>
      </c>
      <c r="B34" s="1"/>
      <c r="C34" s="1"/>
      <c r="D34" s="1"/>
    </row>
    <row r="35" spans="1:4" x14ac:dyDescent="0.3">
      <c r="A35" s="5" t="s">
        <v>417</v>
      </c>
      <c r="B35" s="26" t="s">
        <v>587</v>
      </c>
      <c r="C35" s="14"/>
      <c r="D35" s="15"/>
    </row>
    <row r="36" spans="1:4" x14ac:dyDescent="0.3">
      <c r="A36" s="5" t="s">
        <v>418</v>
      </c>
      <c r="B36" s="26" t="s">
        <v>588</v>
      </c>
      <c r="C36" s="14"/>
      <c r="D36" s="15"/>
    </row>
    <row r="37" spans="1:4" x14ac:dyDescent="0.3">
      <c r="A37" s="5" t="s">
        <v>419</v>
      </c>
      <c r="B37" s="26" t="s">
        <v>589</v>
      </c>
      <c r="C37" s="14"/>
      <c r="D37" s="15"/>
    </row>
    <row r="38" spans="1:4" x14ac:dyDescent="0.3">
      <c r="A38" s="5" t="s">
        <v>420</v>
      </c>
      <c r="B38" s="26" t="s">
        <v>590</v>
      </c>
      <c r="C38" s="14"/>
      <c r="D38" s="15"/>
    </row>
  </sheetData>
  <mergeCells count="24">
    <mergeCell ref="B6:D6"/>
    <mergeCell ref="B20:D20"/>
    <mergeCell ref="A1:D1"/>
    <mergeCell ref="B5:D5"/>
    <mergeCell ref="B36:D36"/>
    <mergeCell ref="B32:D32"/>
    <mergeCell ref="B35:D35"/>
    <mergeCell ref="B26:D26"/>
    <mergeCell ref="B7:D7"/>
    <mergeCell ref="B25:D25"/>
    <mergeCell ref="B16:D16"/>
    <mergeCell ref="B31:D31"/>
    <mergeCell ref="B22:D22"/>
    <mergeCell ref="B27:D27"/>
    <mergeCell ref="B21:D21"/>
    <mergeCell ref="A2:D2"/>
    <mergeCell ref="B11:D11"/>
    <mergeCell ref="B17:D17"/>
    <mergeCell ref="B38:D38"/>
    <mergeCell ref="B10:D10"/>
    <mergeCell ref="B37:D37"/>
    <mergeCell ref="B30:D30"/>
    <mergeCell ref="B15:D15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EU AI Act Classification</vt:lpstr>
      <vt:lpstr>Risk Register</vt:lpstr>
      <vt:lpstr>Vendor Evaluation</vt:lpstr>
      <vt:lpstr>Model Card</vt:lpstr>
      <vt:lpstr>Monitoring &amp; Incidents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 Andres Guijarro</cp:lastModifiedBy>
  <dcterms:created xsi:type="dcterms:W3CDTF">2026-02-10T23:45:21Z</dcterms:created>
  <dcterms:modified xsi:type="dcterms:W3CDTF">2026-04-27T02:10:51Z</dcterms:modified>
</cp:coreProperties>
</file>